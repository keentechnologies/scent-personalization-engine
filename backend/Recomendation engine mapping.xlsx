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ference descriptive mapping" sheetId="1" r:id="rId5"/>
    <sheet state="visible" name="6-6 cluster" sheetId="2" r:id="rId6"/>
    <sheet state="visible" name="Climate filters " sheetId="3" r:id="rId7"/>
    <sheet state="visible" name="climate score count of breaches" sheetId="4" r:id="rId8"/>
    <sheet state="visible" name="senstivity filter overide matri" sheetId="5" r:id="rId9"/>
    <sheet state="visible" name="climate over ride" sheetId="6" r:id="rId10"/>
    <sheet state="visible" name="occasion mapping" sheetId="7" r:id="rId11"/>
    <sheet state="visible" name="personality archetype mapping" sheetId="8" r:id="rId12"/>
    <sheet state="visible" name="gender" sheetId="9" r:id="rId13"/>
    <sheet state="visible" name="senstivity issue accord mapping" sheetId="10" r:id="rId14"/>
  </sheets>
  <definedNames>
    <definedName hidden="1" localSheetId="1" name="_xlnm._FilterDatabase">'6-6 cluster'!$A$135:$C$159</definedName>
    <definedName hidden="1" localSheetId="2" name="_xlnm._FilterDatabase">'Climate filters '!$A$1:$J$14</definedName>
  </definedNames>
  <calcPr/>
</workbook>
</file>

<file path=xl/sharedStrings.xml><?xml version="1.0" encoding="utf-8"?>
<sst xmlns="http://schemas.openxmlformats.org/spreadsheetml/2006/main" count="2041" uniqueCount="229">
  <si>
    <t>Accord</t>
  </si>
  <si>
    <t>professional</t>
  </si>
  <si>
    <t>approachable</t>
  </si>
  <si>
    <t>confident</t>
  </si>
  <si>
    <t>commanding</t>
  </si>
  <si>
    <t>effortless</t>
  </si>
  <si>
    <t>refined</t>
  </si>
  <si>
    <t>elite</t>
  </si>
  <si>
    <t>grounded</t>
  </si>
  <si>
    <t>dependable</t>
  </si>
  <si>
    <t>mature</t>
  </si>
  <si>
    <t>youthful</t>
  </si>
  <si>
    <t>romantic</t>
  </si>
  <si>
    <t>mysterious</t>
  </si>
  <si>
    <t>bold</t>
  </si>
  <si>
    <t>expressive</t>
  </si>
  <si>
    <t>subtle</t>
  </si>
  <si>
    <t>fresh</t>
  </si>
  <si>
    <t>light</t>
  </si>
  <si>
    <t>energizing</t>
  </si>
  <si>
    <t>rich</t>
  </si>
  <si>
    <t>attractive</t>
  </si>
  <si>
    <t>warm</t>
  </si>
  <si>
    <t>intimate</t>
  </si>
  <si>
    <t>Vetiver</t>
  </si>
  <si>
    <t>HIGH</t>
  </si>
  <si>
    <t>LOW</t>
  </si>
  <si>
    <t>MOD-HIGH</t>
  </si>
  <si>
    <t>MOD-LOW</t>
  </si>
  <si>
    <t>Neroli Bloom</t>
  </si>
  <si>
    <t>Bergamot Blush</t>
  </si>
  <si>
    <t>Citrus Elixir</t>
  </si>
  <si>
    <t>Earthbound</t>
  </si>
  <si>
    <t>Ombre Noir</t>
  </si>
  <si>
    <t>Rose and Dew</t>
  </si>
  <si>
    <t>Lily of the Valley</t>
  </si>
  <si>
    <t>Ocean Breeze</t>
  </si>
  <si>
    <t>Oceanic Mist</t>
  </si>
  <si>
    <t>Peony Blush</t>
  </si>
  <si>
    <t>Jasmine Classic</t>
  </si>
  <si>
    <t>Frangipani</t>
  </si>
  <si>
    <t>Floral Mirage</t>
  </si>
  <si>
    <t>Gardenia Dream</t>
  </si>
  <si>
    <t>Almond Milk</t>
  </si>
  <si>
    <t>Coffee Rush</t>
  </si>
  <si>
    <t>Cinnamon Pink</t>
  </si>
  <si>
    <t>Spiced Woods</t>
  </si>
  <si>
    <t>Amber Patchouli</t>
  </si>
  <si>
    <t>Pepper Pout</t>
  </si>
  <si>
    <t>Vanilla Dream</t>
  </si>
  <si>
    <t>Chocolate Creme</t>
  </si>
  <si>
    <t>Salted Caramel</t>
  </si>
  <si>
    <t>High score</t>
  </si>
  <si>
    <t>low score</t>
  </si>
  <si>
    <t>dis ballence</t>
  </si>
  <si>
    <t xml:space="preserve">Low score dis ballence </t>
  </si>
  <si>
    <t xml:space="preserve">High score dis ballence </t>
  </si>
  <si>
    <t>Correct mapping</t>
  </si>
  <si>
    <t xml:space="preserve">High end </t>
  </si>
  <si>
    <t xml:space="preserve">Low end </t>
  </si>
  <si>
    <t>low end</t>
  </si>
  <si>
    <t>correct</t>
  </si>
  <si>
    <t>high end</t>
  </si>
  <si>
    <t>accord</t>
  </si>
  <si>
    <t xml:space="preserve">value </t>
  </si>
  <si>
    <t>Preferred Accords</t>
  </si>
  <si>
    <t xml:space="preserve">projection </t>
  </si>
  <si>
    <t xml:space="preserve">personlity </t>
  </si>
  <si>
    <t>normalised score</t>
  </si>
  <si>
    <t>rank</t>
  </si>
  <si>
    <t>dense rank</t>
  </si>
  <si>
    <t>The Minimalist Professional</t>
  </si>
  <si>
    <t>Ocean Breeze (U), Oceanic Mist (U), Citrus Elixir (U), Bergamot Blush (U), Vetiver (M)</t>
  </si>
  <si>
    <t>The Power Player</t>
  </si>
  <si>
    <t>Amber Patchouli (M), Ombre Noir (M), Spiced Woods (M), Pepper Pout (M), Earthbound (M)</t>
  </si>
  <si>
    <t>The Romantic Charmer</t>
  </si>
  <si>
    <t>Rose and Dew (F), Jasmine Classic (F), Peony Blush (F), Frangipani (F), Gardenia Dream (F)</t>
  </si>
  <si>
    <t>The Playful Energiser</t>
  </si>
  <si>
    <t>Floral Mirage (F), Cinnamon Pink (F), Bergamot Blush (U), Citrus Elixir (U)</t>
  </si>
  <si>
    <t>The Comfort Seeker</t>
  </si>
  <si>
    <t>Vanilla Dream (F), Almond Milk (F), Coffee Rush (U), Chocolate Creme (F), Salted Caramel (F</t>
  </si>
  <si>
    <t>Salted Carame</t>
  </si>
  <si>
    <t>Normalised Score</t>
  </si>
  <si>
    <t>Dense Rank</t>
  </si>
  <si>
    <t>Migraine</t>
  </si>
  <si>
    <t>Body Odour Amplification</t>
  </si>
  <si>
    <t>Strong / Intense Smells</t>
  </si>
  <si>
    <t>count</t>
  </si>
  <si>
    <t xml:space="preserve">climate </t>
  </si>
  <si>
    <t>senstivity</t>
  </si>
  <si>
    <t>Hot-High-No</t>
  </si>
  <si>
    <t>Hot-High-Yes</t>
  </si>
  <si>
    <t>Hot-Low-No</t>
  </si>
  <si>
    <t>Mild-High-No</t>
  </si>
  <si>
    <t>Mild-High-Yes</t>
  </si>
  <si>
    <t>Cold-Low-No</t>
  </si>
  <si>
    <t>Cold-High-Yes</t>
  </si>
  <si>
    <t>Any (Indoor)-Low-No</t>
  </si>
  <si>
    <t>total</t>
  </si>
  <si>
    <t>Climate breach count</t>
  </si>
  <si>
    <t>Perception Rank</t>
  </si>
  <si>
    <t>Personality Rank</t>
  </si>
  <si>
    <t>Combined Rank</t>
  </si>
  <si>
    <t>Override allowed?</t>
  </si>
  <si>
    <t>&lt;= 10</t>
  </si>
  <si>
    <t>any</t>
  </si>
  <si>
    <t>&lt;=8</t>
  </si>
  <si>
    <t>Yes</t>
  </si>
  <si>
    <t>&lt;=10</t>
  </si>
  <si>
    <t>&lt;=7</t>
  </si>
  <si>
    <t>&lt;=5</t>
  </si>
  <si>
    <t>≤ 12</t>
  </si>
  <si>
    <t>≤ 10</t>
  </si>
  <si>
    <t>≤ 9</t>
  </si>
  <si>
    <t>≤ 7</t>
  </si>
  <si>
    <t>&gt; 9</t>
  </si>
  <si>
    <t>&gt; 7</t>
  </si>
  <si>
    <t>≤ 6</t>
  </si>
  <si>
    <t>≤ 4</t>
  </si>
  <si>
    <t>Occasion</t>
  </si>
  <si>
    <t>Ideal fragrance for this occasion should smell like</t>
  </si>
  <si>
    <t>Daily wear</t>
  </si>
  <si>
    <t>Easy to wear, non-tiring, versatile, and pleasant over long hours. It should feel natural on the body and not become irritating with repeated wear.</t>
  </si>
  <si>
    <t>Office / work</t>
  </si>
  <si>
    <t>Clean, polished, restrained, and professional. It should stay close enough to avoid distracting others, while still making the wearer feel put-together.</t>
  </si>
  <si>
    <t>Client meeting / formal business setting</t>
  </si>
  <si>
    <t>Refined, confident, controlled, and credible. It should smell mature and polished rather than playful, loud, or overly sweet.</t>
  </si>
  <si>
    <t>Interview</t>
  </si>
  <si>
    <t>Well-groomed, subtle, trustworthy, and calm. The fragrance should support a neat impression and never overpower.</t>
  </si>
  <si>
    <t>College / classes</t>
  </si>
  <si>
    <t>Fresh, casual, youthful, and easygoing. It should feel light, approachable, and suitable for long wear in shared spaces.</t>
  </si>
  <si>
    <t>Casual daytime outing</t>
  </si>
  <si>
    <t>Effortless, cheerful, and relaxed. The scent should feel bright and natural rather than heavy or overly dressed up.</t>
  </si>
  <si>
    <t>Brunch / café / daytime social setting</t>
  </si>
  <si>
    <t>Pleasant, lively, and charming. It should feel airy and inviting, with enough personality to be memorable but not intense.</t>
  </si>
  <si>
    <t>Running errands</t>
  </si>
  <si>
    <t>Functional, clean, and low-maintenance. The ideal scent should feel fresh and comfortable rather than attention-seeking.</t>
  </si>
  <si>
    <t>Gym / workout</t>
  </si>
  <si>
    <t>Very fresh, clean, and sharp without becoming sweet or dense. It should feel energizing and never mix badly with sweat.</t>
  </si>
  <si>
    <t>Post-workout / athleisure</t>
  </si>
  <si>
    <t>Clean, cooling, and revived. It should smell like freshness restored, not like a strong perfume layered over body heat.</t>
  </si>
  <si>
    <t>Outdoor activity / sports</t>
  </si>
  <si>
    <t>Crisp, breathable, and resilient in heat or movement. It should remain pleasant even when the wearer is active and exposed to the elements.</t>
  </si>
  <si>
    <t>Travel / airport / long commute</t>
  </si>
  <si>
    <t>Comfortable, non-cloying, and stable over time. It should feel smooth and easy in close quarters and not become tiring in enclosed spaces.</t>
  </si>
  <si>
    <t>Road trip</t>
  </si>
  <si>
    <t>Easygoing, pleasant, and mood-lifting. The scent should support comfort over long durations without feeling too rich or dense.</t>
  </si>
  <si>
    <t>Summer daytime</t>
  </si>
  <si>
    <t>Light, airy, refreshing, and heat-friendly. It should feel cooling and clean, not sticky, syrupy, or heavy.</t>
  </si>
  <si>
    <t>Monsoon / rainy day</t>
  </si>
  <si>
    <t>Smooth, comforting, and stable in damp air. It should avoid turning sour, flat, or overly sweet in humid conditions.</t>
  </si>
  <si>
    <t>Winter daytime</t>
  </si>
  <si>
    <t>Warm, smooth, and slightly fuller than summer scents. It should feel comforting and present, without becoming too dark or overwhelming.</t>
  </si>
  <si>
    <t>Evening outing</t>
  </si>
  <si>
    <t>Slightly richer and more noticeable than daytime, but still balanced. It should feel intentional, polished, and socially versatile.</t>
  </si>
  <si>
    <t>Dinner</t>
  </si>
  <si>
    <t>Elegant, smooth, and intimate. It should have enough depth to feel special, but not so much that it dominates the table or the room.</t>
  </si>
  <si>
    <t>Fine dining</t>
  </si>
  <si>
    <t>Refined, understated, and luxurious. The fragrance should feel expensive and controlled, never loud, sugary, or distracting near food.</t>
  </si>
  <si>
    <t>Date night</t>
  </si>
  <si>
    <t>Attractive, intimate, and memorable. It should feel warm, inviting, and sensual, with good skin-level appeal rather than aggressive projection.</t>
  </si>
  <si>
    <t>Romantic evening at home</t>
  </si>
  <si>
    <t>Soft, cozy, intimate, and comforting. The ideal scent should feel close, smooth, and emotionally warm.</t>
  </si>
  <si>
    <t>Party / social night out</t>
  </si>
  <si>
    <t>Energetic, expressive, and noticeable. It should have personality and projection, but still smell intentional rather than chaotic.</t>
  </si>
  <si>
    <t>Club / nightlife</t>
  </si>
  <si>
    <t>Bold, attention-grabbing, and high-impact. It should cut through noise and crowd, while still feeling stylish rather than messy.</t>
  </si>
  <si>
    <t>Wedding guest</t>
  </si>
  <si>
    <t>Elegant, festive, and polished. It should feel dressed-up and memorable without overshadowing the event.</t>
  </si>
  <si>
    <t>Bride / groom special wear</t>
  </si>
  <si>
    <t>Emotional, elegant, long-lasting, and signature-like. It should feel meaningful, elevated, and worthy of being remembered with the occasion.</t>
  </si>
  <si>
    <t>Festival / celebration</t>
  </si>
  <si>
    <t>Joyful, expressive, and vibrant. It should feel culturally and emotionally rich, with enough presence to match the energy of the event.</t>
  </si>
  <si>
    <t>Family gathering</t>
  </si>
  <si>
    <t>Warm, approachable, and socially safe. The scent should feel pleasant across age groups and not be polarizing.</t>
  </si>
  <si>
    <t>Religious / spiritual setting</t>
  </si>
  <si>
    <t>Calm, clean, respectful, and composed. It should feel grounded and serene rather than flashy or seductive.</t>
  </si>
  <si>
    <t>Lounge / relaxed evening social</t>
  </si>
  <si>
    <t>Smooth, stylish, and easy. It should feel mature and confident without needing sharp projection.</t>
  </si>
  <si>
    <t>House party</t>
  </si>
  <si>
    <t>Friendly, expressive, and fun. The scent should feel social and memorable, but flexible enough for an informal setting.</t>
  </si>
  <si>
    <t>Networking event</t>
  </si>
  <si>
    <t>Polished, approachable, and confident. It should help the wearer come across as sharp and likable, not intimidating or distracting.</t>
  </si>
  <si>
    <t>Creative / artistic event</t>
  </si>
  <si>
    <t>Distinctive, expressive, and interesting. It should have personality and individuality, while still feeling wearable.</t>
  </si>
  <si>
    <t>Fashion event</t>
  </si>
  <si>
    <t>Stylish, confident, and statement-making. The scent should feel intentional and image-driven, with stronger personality than a daily fragrance.</t>
  </si>
  <si>
    <t>Photoshoot / content creation</t>
  </si>
  <si>
    <t>Signature, expressive, and identity-led. It should feel like an extension of the wearer’s image rather than a purely practical scent.</t>
  </si>
  <si>
    <t>Home / personal comfort wear</t>
  </si>
  <si>
    <t>Soft, cozy, low-pressure, and soothing. It should feel comforting to the wearer even if no one else is around.</t>
  </si>
  <si>
    <t>Bedtime / sleep-adjacent use</t>
  </si>
  <si>
    <t>Gentle, smooth, and calming. The fragrance should feel quiet and relaxing, with no sharpness or stimulation.</t>
  </si>
  <si>
    <t>After shower / freshening up</t>
  </si>
  <si>
    <t>Clean, airy, and revived. It should amplify the feeling of being freshly washed and well-kept.</t>
  </si>
  <si>
    <t>Signature scent / identity scent</t>
  </si>
  <si>
    <t>Versatile, recognizable, and personally aligned. It should represent the wearer well across contexts without becoming tiring.</t>
  </si>
  <si>
    <t>Special occasion / milestone</t>
  </si>
  <si>
    <t>Distinct, memorable, and elevated. It should feel more intentional and emotionally significant than everyday wear.</t>
  </si>
  <si>
    <t>Luxury / black-tie event</t>
  </si>
  <si>
    <t>Sophisticated, controlled, and expensive-smelling. It should project taste and refinement rather than raw intensity.</t>
  </si>
  <si>
    <t>Close-contact setting</t>
  </si>
  <si>
    <t>Subtle, intimate, and skin-friendly. It should smell best at close range and never feel intrusive.</t>
  </si>
  <si>
    <t>Hot crowded environment</t>
  </si>
  <si>
    <t>Clean, dry-feeling, and non-suffocating. It should stay pleasant under heat, movement, and proximity.</t>
  </si>
  <si>
    <t>Cold outdoor environment</t>
  </si>
  <si>
    <t>Fuller, warmer, and more enveloping. It should have enough body to remain perceptible in cold air.</t>
  </si>
  <si>
    <t>High-humidity environment</t>
  </si>
  <si>
    <t>Stable, airy, and non-sticky. It should avoid turning overly sweet, dense, or sour in moist air.</t>
  </si>
  <si>
    <t>Archetype</t>
  </si>
  <si>
    <t>Description (User-Facing)</t>
  </si>
  <si>
    <t>You like to keep things simple, clean, and put-together. You prefer not to stand out too much but always come across as sharp and well-groomed.</t>
  </si>
  <si>
    <t>You enjoy making an impact wherever you go. You naturally carry confidence and like being noticed for your strong and commanding presence.</t>
  </si>
  <si>
    <t>You are warm, expressive, and enjoy meaningful connections. You like leaving a soft, memorable impression that feels inviting and attractive.</t>
  </si>
  <si>
    <t>You are lively, fun, and bring energy into every room. You enjoy feeling fresh, vibrant, and a little spontaneous in your everyday life.</t>
  </si>
  <si>
    <t>You prefer things that feel familiar, warm, and easy. You like to stay relaxed and enjoy scents that feel cozy and comforting throughout the day.</t>
  </si>
  <si>
    <t>Classification</t>
  </si>
  <si>
    <t>Unisex</t>
  </si>
  <si>
    <t>Female</t>
  </si>
  <si>
    <t>Male</t>
  </si>
  <si>
    <t>Sensitivity Issue</t>
  </si>
  <si>
    <t>Accords to be Flagged</t>
  </si>
  <si>
    <t>Gardenia Dream, Jasmine Classic, Ombre Noir, Salted Caramel, Chocolate Creme</t>
  </si>
  <si>
    <t>Respiratory Irritation</t>
  </si>
  <si>
    <t>Pepper Pout, Cinnamon Pink</t>
  </si>
  <si>
    <t>Skin Sensitivity</t>
  </si>
  <si>
    <t>Jasmine Classic, Gardenia Dream, Cinnamon Pink, Pepper Pout</t>
  </si>
  <si>
    <t>Salted Caramel, Chocolate Creme, Vanilla Dream</t>
  </si>
  <si>
    <t>Ombre Noir, Amber Patchouli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</si>
</sst>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  <font>
      <color rgb="FF000000"/>
      <name val="Arial"/>
    </font>
    <font>
      <sz val="12.0"/>
      <color rgb="FF000000"/>
      <name val="Calibri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6" max="26" width="13.5"/>
    <col customWidth="1" min="27" max="27" width="18.0"/>
    <col customWidth="1" min="28" max="28" width="17.5"/>
    <col customWidth="1" min="29" max="29" width="13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/>
    </row>
    <row r="2">
      <c r="A2" s="4" t="s">
        <v>24</v>
      </c>
      <c r="B2" s="4" t="s">
        <v>25</v>
      </c>
      <c r="C2" s="5" t="s">
        <v>26</v>
      </c>
      <c r="D2" s="5" t="s">
        <v>25</v>
      </c>
      <c r="E2" s="5" t="s">
        <v>25</v>
      </c>
      <c r="F2" s="5" t="s">
        <v>27</v>
      </c>
      <c r="G2" s="5" t="s">
        <v>27</v>
      </c>
      <c r="H2" s="5" t="s">
        <v>27</v>
      </c>
      <c r="I2" s="5" t="s">
        <v>25</v>
      </c>
      <c r="J2" s="5" t="s">
        <v>27</v>
      </c>
      <c r="K2" s="5" t="s">
        <v>25</v>
      </c>
      <c r="L2" s="5" t="s">
        <v>26</v>
      </c>
      <c r="M2" s="5" t="s">
        <v>26</v>
      </c>
      <c r="N2" s="5" t="s">
        <v>25</v>
      </c>
      <c r="O2" s="5" t="s">
        <v>26</v>
      </c>
      <c r="P2" s="5" t="s">
        <v>26</v>
      </c>
      <c r="Q2" s="5" t="s">
        <v>27</v>
      </c>
      <c r="R2" s="5" t="s">
        <v>28</v>
      </c>
      <c r="S2" s="5" t="s">
        <v>28</v>
      </c>
      <c r="T2" s="5" t="s">
        <v>26</v>
      </c>
      <c r="U2" s="5" t="s">
        <v>28</v>
      </c>
      <c r="V2" s="5" t="s">
        <v>28</v>
      </c>
      <c r="W2" s="5" t="s">
        <v>28</v>
      </c>
      <c r="X2" s="5" t="s">
        <v>28</v>
      </c>
    </row>
    <row r="3">
      <c r="A3" s="4" t="s">
        <v>29</v>
      </c>
      <c r="B3" s="5" t="s">
        <v>26</v>
      </c>
      <c r="C3" s="5" t="s">
        <v>27</v>
      </c>
      <c r="D3" s="5" t="s">
        <v>27</v>
      </c>
      <c r="E3" s="5" t="s">
        <v>27</v>
      </c>
      <c r="F3" s="5" t="s">
        <v>25</v>
      </c>
      <c r="G3" s="5" t="s">
        <v>25</v>
      </c>
      <c r="H3" s="5" t="s">
        <v>25</v>
      </c>
      <c r="I3" s="5" t="s">
        <v>27</v>
      </c>
      <c r="J3" s="5" t="s">
        <v>25</v>
      </c>
      <c r="K3" s="5" t="s">
        <v>27</v>
      </c>
      <c r="L3" s="5" t="s">
        <v>28</v>
      </c>
      <c r="M3" s="5" t="s">
        <v>28</v>
      </c>
      <c r="N3" s="5" t="s">
        <v>26</v>
      </c>
      <c r="O3" s="5" t="s">
        <v>28</v>
      </c>
      <c r="P3" s="5" t="s">
        <v>26</v>
      </c>
      <c r="Q3" s="5" t="s">
        <v>27</v>
      </c>
      <c r="R3" s="5" t="s">
        <v>25</v>
      </c>
      <c r="S3" s="5" t="s">
        <v>25</v>
      </c>
      <c r="T3" s="5" t="s">
        <v>27</v>
      </c>
      <c r="U3" s="5" t="s">
        <v>26</v>
      </c>
      <c r="V3" s="5" t="s">
        <v>28</v>
      </c>
      <c r="W3" s="5" t="s">
        <v>26</v>
      </c>
      <c r="X3" s="5" t="s">
        <v>28</v>
      </c>
    </row>
    <row r="4">
      <c r="A4" s="4" t="s">
        <v>30</v>
      </c>
      <c r="B4" s="4" t="s">
        <v>25</v>
      </c>
      <c r="C4" s="5" t="s">
        <v>27</v>
      </c>
      <c r="D4" s="5" t="s">
        <v>27</v>
      </c>
      <c r="E4" s="5" t="s">
        <v>28</v>
      </c>
      <c r="F4" s="5" t="s">
        <v>25</v>
      </c>
      <c r="G4" s="5" t="s">
        <v>25</v>
      </c>
      <c r="H4" s="5" t="s">
        <v>25</v>
      </c>
      <c r="I4" s="5" t="s">
        <v>27</v>
      </c>
      <c r="J4" s="5" t="s">
        <v>25</v>
      </c>
      <c r="K4" s="5" t="s">
        <v>27</v>
      </c>
      <c r="L4" s="5" t="s">
        <v>27</v>
      </c>
      <c r="M4" s="5" t="s">
        <v>28</v>
      </c>
      <c r="N4" s="5" t="s">
        <v>26</v>
      </c>
      <c r="O4" s="5" t="s">
        <v>28</v>
      </c>
      <c r="P4" s="5" t="s">
        <v>26</v>
      </c>
      <c r="Q4" s="5" t="s">
        <v>27</v>
      </c>
      <c r="R4" s="5" t="s">
        <v>25</v>
      </c>
      <c r="S4" s="5" t="s">
        <v>28</v>
      </c>
      <c r="T4" s="5" t="s">
        <v>27</v>
      </c>
      <c r="U4" s="5" t="s">
        <v>26</v>
      </c>
      <c r="V4" s="5" t="s">
        <v>28</v>
      </c>
      <c r="W4" s="5" t="s">
        <v>26</v>
      </c>
      <c r="X4" s="5" t="s">
        <v>28</v>
      </c>
    </row>
    <row r="5">
      <c r="A5" s="4" t="s">
        <v>31</v>
      </c>
      <c r="B5" s="4" t="s">
        <v>25</v>
      </c>
      <c r="C5" s="5" t="s">
        <v>28</v>
      </c>
      <c r="D5" s="5" t="s">
        <v>27</v>
      </c>
      <c r="E5" s="5" t="s">
        <v>27</v>
      </c>
      <c r="F5" s="5" t="s">
        <v>28</v>
      </c>
      <c r="G5" s="5" t="s">
        <v>28</v>
      </c>
      <c r="H5" s="5" t="s">
        <v>26</v>
      </c>
      <c r="I5" s="5" t="s">
        <v>26</v>
      </c>
      <c r="J5" s="5" t="s">
        <v>25</v>
      </c>
      <c r="K5" s="5" t="s">
        <v>28</v>
      </c>
      <c r="L5" s="5" t="s">
        <v>25</v>
      </c>
      <c r="M5" s="5" t="s">
        <v>28</v>
      </c>
      <c r="N5" s="5" t="s">
        <v>26</v>
      </c>
      <c r="O5" s="5" t="s">
        <v>27</v>
      </c>
      <c r="P5" s="5" t="s">
        <v>28</v>
      </c>
      <c r="Q5" s="5" t="s">
        <v>27</v>
      </c>
      <c r="R5" s="5" t="s">
        <v>25</v>
      </c>
      <c r="S5" s="5" t="s">
        <v>27</v>
      </c>
      <c r="T5" s="5" t="s">
        <v>25</v>
      </c>
      <c r="U5" s="5" t="s">
        <v>26</v>
      </c>
      <c r="V5" s="5" t="s">
        <v>28</v>
      </c>
      <c r="W5" s="5" t="s">
        <v>26</v>
      </c>
      <c r="X5" s="5" t="s">
        <v>26</v>
      </c>
    </row>
    <row r="6">
      <c r="A6" s="4" t="s">
        <v>32</v>
      </c>
      <c r="B6" s="4" t="s">
        <v>25</v>
      </c>
      <c r="C6" s="5" t="s">
        <v>26</v>
      </c>
      <c r="D6" s="5" t="s">
        <v>25</v>
      </c>
      <c r="E6" s="5" t="s">
        <v>25</v>
      </c>
      <c r="F6" s="5" t="s">
        <v>28</v>
      </c>
      <c r="G6" s="5" t="s">
        <v>27</v>
      </c>
      <c r="H6" s="5" t="s">
        <v>27</v>
      </c>
      <c r="I6" s="5" t="s">
        <v>25</v>
      </c>
      <c r="J6" s="5" t="s">
        <v>25</v>
      </c>
      <c r="K6" s="5" t="s">
        <v>25</v>
      </c>
      <c r="L6" s="5" t="s">
        <v>26</v>
      </c>
      <c r="M6" s="5" t="s">
        <v>26</v>
      </c>
      <c r="N6" s="5" t="s">
        <v>25</v>
      </c>
      <c r="O6" s="5" t="s">
        <v>26</v>
      </c>
      <c r="P6" s="5" t="s">
        <v>28</v>
      </c>
      <c r="Q6" s="5" t="s">
        <v>27</v>
      </c>
      <c r="R6" s="5" t="s">
        <v>26</v>
      </c>
      <c r="S6" s="5" t="s">
        <v>26</v>
      </c>
      <c r="T6" s="5" t="s">
        <v>28</v>
      </c>
      <c r="U6" s="5" t="s">
        <v>27</v>
      </c>
      <c r="V6" s="5" t="s">
        <v>27</v>
      </c>
      <c r="W6" s="5" t="s">
        <v>27</v>
      </c>
      <c r="X6" s="5" t="s">
        <v>28</v>
      </c>
    </row>
    <row r="7">
      <c r="A7" s="4" t="s">
        <v>33</v>
      </c>
      <c r="B7" s="5" t="s">
        <v>27</v>
      </c>
      <c r="C7" s="5" t="s">
        <v>26</v>
      </c>
      <c r="D7" s="5" t="s">
        <v>25</v>
      </c>
      <c r="E7" s="5" t="s">
        <v>25</v>
      </c>
      <c r="F7" s="5" t="s">
        <v>26</v>
      </c>
      <c r="G7" s="5" t="s">
        <v>28</v>
      </c>
      <c r="H7" s="5" t="s">
        <v>25</v>
      </c>
      <c r="I7" s="5" t="s">
        <v>27</v>
      </c>
      <c r="J7" s="5" t="s">
        <v>28</v>
      </c>
      <c r="K7" s="5" t="s">
        <v>25</v>
      </c>
      <c r="L7" s="5" t="s">
        <v>26</v>
      </c>
      <c r="M7" s="5" t="s">
        <v>28</v>
      </c>
      <c r="N7" s="5" t="s">
        <v>25</v>
      </c>
      <c r="O7" s="5" t="s">
        <v>25</v>
      </c>
      <c r="P7" s="5" t="s">
        <v>27</v>
      </c>
      <c r="Q7" s="5" t="s">
        <v>28</v>
      </c>
      <c r="R7" s="5" t="s">
        <v>26</v>
      </c>
      <c r="S7" s="5" t="s">
        <v>26</v>
      </c>
      <c r="T7" s="5" t="s">
        <v>26</v>
      </c>
      <c r="U7" s="5" t="s">
        <v>25</v>
      </c>
      <c r="V7" s="5" t="s">
        <v>27</v>
      </c>
      <c r="W7" s="5" t="s">
        <v>27</v>
      </c>
      <c r="X7" s="5" t="s">
        <v>27</v>
      </c>
    </row>
    <row r="8">
      <c r="A8" s="4" t="s">
        <v>34</v>
      </c>
      <c r="B8" s="4" t="s">
        <v>27</v>
      </c>
      <c r="C8" s="5" t="s">
        <v>25</v>
      </c>
      <c r="D8" s="5" t="s">
        <v>26</v>
      </c>
      <c r="E8" s="5" t="s">
        <v>26</v>
      </c>
      <c r="F8" s="5" t="s">
        <v>27</v>
      </c>
      <c r="G8" s="5" t="s">
        <v>25</v>
      </c>
      <c r="H8" s="5" t="s">
        <v>25</v>
      </c>
      <c r="I8" s="5" t="s">
        <v>27</v>
      </c>
      <c r="J8" s="5" t="s">
        <v>25</v>
      </c>
      <c r="K8" s="5" t="s">
        <v>28</v>
      </c>
      <c r="L8" s="5" t="s">
        <v>28</v>
      </c>
      <c r="M8" s="5" t="s">
        <v>25</v>
      </c>
      <c r="N8" s="5" t="s">
        <v>27</v>
      </c>
      <c r="O8" s="5" t="s">
        <v>26</v>
      </c>
      <c r="P8" s="5" t="s">
        <v>28</v>
      </c>
      <c r="Q8" s="5" t="s">
        <v>27</v>
      </c>
      <c r="R8" s="5" t="s">
        <v>25</v>
      </c>
      <c r="S8" s="5" t="s">
        <v>28</v>
      </c>
      <c r="T8" s="5" t="s">
        <v>28</v>
      </c>
      <c r="U8" s="5" t="s">
        <v>26</v>
      </c>
      <c r="V8" s="5" t="s">
        <v>27</v>
      </c>
      <c r="W8" s="5" t="s">
        <v>28</v>
      </c>
      <c r="X8" s="5" t="s">
        <v>27</v>
      </c>
    </row>
    <row r="9">
      <c r="A9" s="4" t="s">
        <v>35</v>
      </c>
      <c r="B9" s="4" t="s">
        <v>27</v>
      </c>
      <c r="C9" s="5" t="s">
        <v>27</v>
      </c>
      <c r="D9" s="5" t="s">
        <v>26</v>
      </c>
      <c r="E9" s="5" t="s">
        <v>26</v>
      </c>
      <c r="F9" s="5" t="s">
        <v>25</v>
      </c>
      <c r="G9" s="5" t="s">
        <v>25</v>
      </c>
      <c r="H9" s="5" t="s">
        <v>27</v>
      </c>
      <c r="I9" s="5" t="s">
        <v>28</v>
      </c>
      <c r="J9" s="5" t="s">
        <v>27</v>
      </c>
      <c r="K9" s="5" t="s">
        <v>27</v>
      </c>
      <c r="L9" s="5" t="s">
        <v>28</v>
      </c>
      <c r="M9" s="5" t="s">
        <v>27</v>
      </c>
      <c r="N9" s="5" t="s">
        <v>26</v>
      </c>
      <c r="O9" s="5" t="s">
        <v>26</v>
      </c>
      <c r="P9" s="5" t="s">
        <v>28</v>
      </c>
      <c r="Q9" s="5" t="s">
        <v>25</v>
      </c>
      <c r="R9" s="5" t="s">
        <v>25</v>
      </c>
      <c r="S9" s="5" t="s">
        <v>25</v>
      </c>
      <c r="T9" s="5" t="s">
        <v>28</v>
      </c>
      <c r="U9" s="5" t="s">
        <v>26</v>
      </c>
      <c r="V9" s="5" t="s">
        <v>28</v>
      </c>
      <c r="W9" s="5" t="s">
        <v>26</v>
      </c>
      <c r="X9" s="5" t="s">
        <v>27</v>
      </c>
    </row>
    <row r="10">
      <c r="A10" s="4" t="s">
        <v>36</v>
      </c>
      <c r="B10" s="4" t="s">
        <v>27</v>
      </c>
      <c r="C10" s="5" t="s">
        <v>25</v>
      </c>
      <c r="D10" s="5" t="s">
        <v>26</v>
      </c>
      <c r="E10" s="5" t="s">
        <v>26</v>
      </c>
      <c r="F10" s="5" t="s">
        <v>25</v>
      </c>
      <c r="G10" s="5" t="s">
        <v>28</v>
      </c>
      <c r="H10" s="5" t="s">
        <v>28</v>
      </c>
      <c r="I10" s="5" t="s">
        <v>26</v>
      </c>
      <c r="J10" s="5" t="s">
        <v>27</v>
      </c>
      <c r="K10" s="5" t="s">
        <v>26</v>
      </c>
      <c r="L10" s="5" t="s">
        <v>25</v>
      </c>
      <c r="M10" s="5" t="s">
        <v>28</v>
      </c>
      <c r="N10" s="5" t="s">
        <v>26</v>
      </c>
      <c r="O10" s="5" t="s">
        <v>26</v>
      </c>
      <c r="P10" s="5" t="s">
        <v>28</v>
      </c>
      <c r="Q10" s="5" t="s">
        <v>27</v>
      </c>
      <c r="R10" s="5" t="s">
        <v>25</v>
      </c>
      <c r="S10" s="5" t="s">
        <v>25</v>
      </c>
      <c r="T10" s="5" t="s">
        <v>25</v>
      </c>
      <c r="U10" s="5" t="s">
        <v>26</v>
      </c>
      <c r="V10" s="5" t="s">
        <v>28</v>
      </c>
      <c r="W10" s="5" t="s">
        <v>28</v>
      </c>
      <c r="X10" s="5" t="s">
        <v>27</v>
      </c>
    </row>
    <row r="11">
      <c r="A11" s="4" t="s">
        <v>37</v>
      </c>
      <c r="B11" s="4" t="s">
        <v>27</v>
      </c>
      <c r="C11" s="5" t="s">
        <v>25</v>
      </c>
      <c r="D11" s="5" t="s">
        <v>26</v>
      </c>
      <c r="E11" s="5" t="s">
        <v>26</v>
      </c>
      <c r="F11" s="5" t="s">
        <v>25</v>
      </c>
      <c r="G11" s="5" t="s">
        <v>27</v>
      </c>
      <c r="H11" s="5" t="s">
        <v>28</v>
      </c>
      <c r="I11" s="5" t="s">
        <v>26</v>
      </c>
      <c r="J11" s="5" t="s">
        <v>27</v>
      </c>
      <c r="K11" s="5" t="s">
        <v>28</v>
      </c>
      <c r="L11" s="5" t="s">
        <v>25</v>
      </c>
      <c r="M11" s="5" t="s">
        <v>28</v>
      </c>
      <c r="N11" s="5" t="s">
        <v>26</v>
      </c>
      <c r="O11" s="5" t="s">
        <v>26</v>
      </c>
      <c r="P11" s="5" t="s">
        <v>28</v>
      </c>
      <c r="Q11" s="5" t="s">
        <v>25</v>
      </c>
      <c r="R11" s="5" t="s">
        <v>25</v>
      </c>
      <c r="S11" s="5" t="s">
        <v>25</v>
      </c>
      <c r="T11" s="5" t="s">
        <v>27</v>
      </c>
      <c r="U11" s="5" t="s">
        <v>26</v>
      </c>
      <c r="V11" s="5" t="s">
        <v>28</v>
      </c>
      <c r="W11" s="5" t="s">
        <v>26</v>
      </c>
      <c r="X11" s="5" t="s">
        <v>28</v>
      </c>
    </row>
    <row r="12">
      <c r="A12" s="4" t="s">
        <v>38</v>
      </c>
      <c r="B12" s="4" t="s">
        <v>27</v>
      </c>
      <c r="C12" s="5" t="s">
        <v>25</v>
      </c>
      <c r="D12" s="5" t="s">
        <v>28</v>
      </c>
      <c r="E12" s="5" t="s">
        <v>26</v>
      </c>
      <c r="F12" s="5" t="s">
        <v>27</v>
      </c>
      <c r="G12" s="5" t="s">
        <v>27</v>
      </c>
      <c r="H12" s="5" t="s">
        <v>27</v>
      </c>
      <c r="I12" s="5" t="s">
        <v>26</v>
      </c>
      <c r="J12" s="5" t="s">
        <v>28</v>
      </c>
      <c r="K12" s="5" t="s">
        <v>28</v>
      </c>
      <c r="L12" s="5" t="s">
        <v>25</v>
      </c>
      <c r="M12" s="5" t="s">
        <v>25</v>
      </c>
      <c r="N12" s="5" t="s">
        <v>28</v>
      </c>
      <c r="O12" s="5" t="s">
        <v>26</v>
      </c>
      <c r="P12" s="5" t="s">
        <v>28</v>
      </c>
      <c r="Q12" s="5" t="s">
        <v>27</v>
      </c>
      <c r="R12" s="5" t="s">
        <v>25</v>
      </c>
      <c r="S12" s="5" t="s">
        <v>25</v>
      </c>
      <c r="T12" s="5" t="s">
        <v>27</v>
      </c>
      <c r="U12" s="5" t="s">
        <v>26</v>
      </c>
      <c r="V12" s="5" t="s">
        <v>25</v>
      </c>
      <c r="W12" s="5" t="s">
        <v>28</v>
      </c>
      <c r="X12" s="5" t="s">
        <v>27</v>
      </c>
    </row>
    <row r="13">
      <c r="A13" s="4" t="s">
        <v>39</v>
      </c>
      <c r="B13" s="4" t="s">
        <v>27</v>
      </c>
      <c r="C13" s="5" t="s">
        <v>28</v>
      </c>
      <c r="D13" s="5" t="s">
        <v>28</v>
      </c>
      <c r="E13" s="5" t="s">
        <v>26</v>
      </c>
      <c r="F13" s="5" t="s">
        <v>28</v>
      </c>
      <c r="G13" s="5" t="s">
        <v>28</v>
      </c>
      <c r="H13" s="5" t="s">
        <v>27</v>
      </c>
      <c r="I13" s="5" t="s">
        <v>26</v>
      </c>
      <c r="J13" s="5" t="s">
        <v>26</v>
      </c>
      <c r="K13" s="5" t="s">
        <v>27</v>
      </c>
      <c r="L13" s="5" t="s">
        <v>28</v>
      </c>
      <c r="M13" s="5" t="s">
        <v>25</v>
      </c>
      <c r="N13" s="5" t="s">
        <v>25</v>
      </c>
      <c r="O13" s="5" t="s">
        <v>27</v>
      </c>
      <c r="P13" s="5" t="s">
        <v>25</v>
      </c>
      <c r="Q13" s="5" t="s">
        <v>28</v>
      </c>
      <c r="R13" s="5" t="s">
        <v>28</v>
      </c>
      <c r="S13" s="5" t="s">
        <v>26</v>
      </c>
      <c r="T13" s="5" t="s">
        <v>26</v>
      </c>
      <c r="U13" s="5" t="s">
        <v>27</v>
      </c>
      <c r="V13" s="5" t="s">
        <v>25</v>
      </c>
      <c r="W13" s="5" t="s">
        <v>27</v>
      </c>
      <c r="X13" s="5" t="s">
        <v>25</v>
      </c>
    </row>
    <row r="14">
      <c r="A14" s="4" t="s">
        <v>40</v>
      </c>
      <c r="B14" s="4" t="s">
        <v>28</v>
      </c>
      <c r="C14" s="5" t="s">
        <v>27</v>
      </c>
      <c r="D14" s="5" t="s">
        <v>28</v>
      </c>
      <c r="E14" s="5" t="s">
        <v>26</v>
      </c>
      <c r="F14" s="5" t="s">
        <v>27</v>
      </c>
      <c r="G14" s="5" t="s">
        <v>27</v>
      </c>
      <c r="H14" s="5" t="s">
        <v>28</v>
      </c>
      <c r="I14" s="5" t="s">
        <v>26</v>
      </c>
      <c r="J14" s="5" t="s">
        <v>26</v>
      </c>
      <c r="K14" s="5" t="s">
        <v>26</v>
      </c>
      <c r="L14" s="5" t="s">
        <v>25</v>
      </c>
      <c r="M14" s="5" t="s">
        <v>25</v>
      </c>
      <c r="N14" s="5" t="s">
        <v>28</v>
      </c>
      <c r="O14" s="5" t="s">
        <v>28</v>
      </c>
      <c r="P14" s="5" t="s">
        <v>27</v>
      </c>
      <c r="Q14" s="5" t="s">
        <v>27</v>
      </c>
      <c r="R14" s="5" t="s">
        <v>25</v>
      </c>
      <c r="S14" s="5" t="s">
        <v>25</v>
      </c>
      <c r="T14" s="5" t="s">
        <v>27</v>
      </c>
      <c r="U14" s="5" t="s">
        <v>26</v>
      </c>
      <c r="V14" s="5" t="s">
        <v>25</v>
      </c>
      <c r="W14" s="5" t="s">
        <v>28</v>
      </c>
      <c r="X14" s="5" t="s">
        <v>27</v>
      </c>
    </row>
    <row r="15">
      <c r="A15" s="4" t="s">
        <v>41</v>
      </c>
      <c r="B15" s="4" t="s">
        <v>28</v>
      </c>
      <c r="C15" s="5" t="s">
        <v>25</v>
      </c>
      <c r="D15" s="5" t="s">
        <v>28</v>
      </c>
      <c r="E15" s="5" t="s">
        <v>26</v>
      </c>
      <c r="F15" s="5" t="s">
        <v>27</v>
      </c>
      <c r="G15" s="5" t="s">
        <v>27</v>
      </c>
      <c r="H15" s="5" t="s">
        <v>28</v>
      </c>
      <c r="I15" s="5" t="s">
        <v>26</v>
      </c>
      <c r="J15" s="5" t="s">
        <v>27</v>
      </c>
      <c r="K15" s="5" t="s">
        <v>28</v>
      </c>
      <c r="L15" s="5" t="s">
        <v>27</v>
      </c>
      <c r="M15" s="5" t="s">
        <v>25</v>
      </c>
      <c r="N15" s="5" t="s">
        <v>25</v>
      </c>
      <c r="O15" s="5" t="s">
        <v>28</v>
      </c>
      <c r="P15" s="5" t="s">
        <v>27</v>
      </c>
      <c r="Q15" s="5" t="s">
        <v>27</v>
      </c>
      <c r="R15" s="5" t="s">
        <v>25</v>
      </c>
      <c r="S15" s="5" t="s">
        <v>25</v>
      </c>
      <c r="T15" s="5" t="s">
        <v>28</v>
      </c>
      <c r="U15" s="5" t="s">
        <v>26</v>
      </c>
      <c r="V15" s="5" t="s">
        <v>25</v>
      </c>
      <c r="W15" s="5" t="s">
        <v>26</v>
      </c>
      <c r="X15" s="5" t="s">
        <v>27</v>
      </c>
    </row>
    <row r="16">
      <c r="A16" s="4" t="s">
        <v>42</v>
      </c>
      <c r="B16" s="4" t="s">
        <v>28</v>
      </c>
      <c r="C16" s="5" t="s">
        <v>27</v>
      </c>
      <c r="D16" s="5" t="s">
        <v>28</v>
      </c>
      <c r="E16" s="5" t="s">
        <v>28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26</v>
      </c>
      <c r="K16" s="5" t="s">
        <v>28</v>
      </c>
      <c r="L16" s="5" t="s">
        <v>28</v>
      </c>
      <c r="M16" s="5" t="s">
        <v>25</v>
      </c>
      <c r="N16" s="5" t="s">
        <v>27</v>
      </c>
      <c r="O16" s="5" t="s">
        <v>27</v>
      </c>
      <c r="P16" s="5" t="s">
        <v>25</v>
      </c>
      <c r="Q16" s="5" t="s">
        <v>26</v>
      </c>
      <c r="R16" s="5" t="s">
        <v>28</v>
      </c>
      <c r="S16" s="5" t="s">
        <v>26</v>
      </c>
      <c r="T16" s="5" t="s">
        <v>26</v>
      </c>
      <c r="U16" s="5" t="s">
        <v>25</v>
      </c>
      <c r="V16" s="5" t="s">
        <v>25</v>
      </c>
      <c r="W16" s="5" t="s">
        <v>25</v>
      </c>
      <c r="X16" s="5" t="s">
        <v>25</v>
      </c>
    </row>
    <row r="17">
      <c r="A17" s="4" t="s">
        <v>43</v>
      </c>
      <c r="B17" s="5" t="s">
        <v>26</v>
      </c>
      <c r="C17" s="5" t="s">
        <v>25</v>
      </c>
      <c r="D17" s="5" t="s">
        <v>26</v>
      </c>
      <c r="E17" s="5" t="s">
        <v>26</v>
      </c>
      <c r="F17" s="5" t="s">
        <v>25</v>
      </c>
      <c r="G17" s="5" t="s">
        <v>28</v>
      </c>
      <c r="H17" s="5" t="s">
        <v>28</v>
      </c>
      <c r="I17" s="5" t="s">
        <v>26</v>
      </c>
      <c r="J17" s="5" t="s">
        <v>26</v>
      </c>
      <c r="K17" s="5" t="s">
        <v>28</v>
      </c>
      <c r="L17" s="5" t="s">
        <v>27</v>
      </c>
      <c r="M17" s="5" t="s">
        <v>27</v>
      </c>
      <c r="N17" s="5" t="s">
        <v>28</v>
      </c>
      <c r="O17" s="5" t="s">
        <v>26</v>
      </c>
      <c r="P17" s="5" t="s">
        <v>28</v>
      </c>
      <c r="Q17" s="5" t="s">
        <v>27</v>
      </c>
      <c r="R17" s="5" t="s">
        <v>27</v>
      </c>
      <c r="S17" s="5" t="s">
        <v>28</v>
      </c>
      <c r="T17" s="5" t="s">
        <v>27</v>
      </c>
      <c r="U17" s="5" t="s">
        <v>28</v>
      </c>
      <c r="V17" s="5" t="s">
        <v>27</v>
      </c>
      <c r="W17" s="5" t="s">
        <v>25</v>
      </c>
      <c r="X17" s="5" t="s">
        <v>25</v>
      </c>
    </row>
    <row r="18">
      <c r="A18" s="4" t="s">
        <v>44</v>
      </c>
      <c r="B18" s="4" t="s">
        <v>28</v>
      </c>
      <c r="C18" s="5" t="s">
        <v>28</v>
      </c>
      <c r="D18" s="5" t="s">
        <v>27</v>
      </c>
      <c r="E18" s="5" t="s">
        <v>27</v>
      </c>
      <c r="F18" s="5" t="s">
        <v>28</v>
      </c>
      <c r="G18" s="5" t="s">
        <v>28</v>
      </c>
      <c r="H18" s="5" t="s">
        <v>26</v>
      </c>
      <c r="I18" s="5" t="s">
        <v>25</v>
      </c>
      <c r="J18" s="5" t="s">
        <v>28</v>
      </c>
      <c r="K18" s="5" t="s">
        <v>28</v>
      </c>
      <c r="L18" s="5" t="s">
        <v>26</v>
      </c>
      <c r="M18" s="5" t="s">
        <v>26</v>
      </c>
      <c r="N18" s="5" t="s">
        <v>27</v>
      </c>
      <c r="O18" s="5" t="s">
        <v>25</v>
      </c>
      <c r="P18" s="5" t="s">
        <v>25</v>
      </c>
      <c r="Q18" s="5" t="s">
        <v>26</v>
      </c>
      <c r="R18" s="5" t="s">
        <v>27</v>
      </c>
      <c r="S18" s="5" t="s">
        <v>26</v>
      </c>
      <c r="T18" s="5" t="s">
        <v>27</v>
      </c>
      <c r="U18" s="5" t="s">
        <v>25</v>
      </c>
      <c r="V18" s="5" t="s">
        <v>27</v>
      </c>
      <c r="W18" s="5" t="s">
        <v>25</v>
      </c>
      <c r="X18" s="5" t="s">
        <v>27</v>
      </c>
    </row>
    <row r="19">
      <c r="A19" s="4" t="s">
        <v>45</v>
      </c>
      <c r="B19" s="5" t="s">
        <v>26</v>
      </c>
      <c r="C19" s="5" t="s">
        <v>28</v>
      </c>
      <c r="D19" s="5" t="s">
        <v>27</v>
      </c>
      <c r="E19" s="5" t="s">
        <v>27</v>
      </c>
      <c r="F19" s="5" t="s">
        <v>28</v>
      </c>
      <c r="G19" s="5" t="s">
        <v>28</v>
      </c>
      <c r="H19" s="5" t="s">
        <v>26</v>
      </c>
      <c r="I19" s="5" t="s">
        <v>27</v>
      </c>
      <c r="J19" s="5" t="s">
        <v>26</v>
      </c>
      <c r="K19" s="5" t="s">
        <v>28</v>
      </c>
      <c r="L19" s="5" t="s">
        <v>27</v>
      </c>
      <c r="M19" s="5" t="s">
        <v>28</v>
      </c>
      <c r="N19" s="5" t="s">
        <v>27</v>
      </c>
      <c r="O19" s="5" t="s">
        <v>25</v>
      </c>
      <c r="P19" s="5" t="s">
        <v>25</v>
      </c>
      <c r="Q19" s="5" t="s">
        <v>26</v>
      </c>
      <c r="R19" s="5" t="s">
        <v>25</v>
      </c>
      <c r="S19" s="5" t="s">
        <v>26</v>
      </c>
      <c r="T19" s="5" t="s">
        <v>25</v>
      </c>
      <c r="U19" s="5" t="s">
        <v>27</v>
      </c>
      <c r="V19" s="5" t="s">
        <v>27</v>
      </c>
      <c r="W19" s="5" t="s">
        <v>25</v>
      </c>
      <c r="X19" s="5" t="s">
        <v>28</v>
      </c>
    </row>
    <row r="20">
      <c r="A20" s="4" t="s">
        <v>46</v>
      </c>
      <c r="B20" s="5" t="s">
        <v>28</v>
      </c>
      <c r="C20" s="5" t="s">
        <v>26</v>
      </c>
      <c r="D20" s="5" t="s">
        <v>25</v>
      </c>
      <c r="E20" s="5" t="s">
        <v>25</v>
      </c>
      <c r="F20" s="5" t="s">
        <v>28</v>
      </c>
      <c r="G20" s="5" t="s">
        <v>28</v>
      </c>
      <c r="H20" s="5" t="s">
        <v>27</v>
      </c>
      <c r="I20" s="5" t="s">
        <v>25</v>
      </c>
      <c r="J20" s="5" t="s">
        <v>26</v>
      </c>
      <c r="K20" s="5" t="s">
        <v>25</v>
      </c>
      <c r="L20" s="5" t="s">
        <v>26</v>
      </c>
      <c r="M20" s="5" t="s">
        <v>26</v>
      </c>
      <c r="N20" s="5" t="s">
        <v>25</v>
      </c>
      <c r="O20" s="5" t="s">
        <v>25</v>
      </c>
      <c r="P20" s="5" t="s">
        <v>27</v>
      </c>
      <c r="Q20" s="5" t="s">
        <v>26</v>
      </c>
      <c r="R20" s="5" t="s">
        <v>27</v>
      </c>
      <c r="S20" s="5" t="s">
        <v>26</v>
      </c>
      <c r="T20" s="5" t="s">
        <v>27</v>
      </c>
      <c r="U20" s="5" t="s">
        <v>25</v>
      </c>
      <c r="V20" s="5" t="s">
        <v>27</v>
      </c>
      <c r="W20" s="5" t="s">
        <v>27</v>
      </c>
      <c r="X20" s="5" t="s">
        <v>28</v>
      </c>
    </row>
    <row r="21">
      <c r="A21" s="4" t="s">
        <v>47</v>
      </c>
      <c r="B21" s="5" t="s">
        <v>28</v>
      </c>
      <c r="C21" s="5" t="s">
        <v>26</v>
      </c>
      <c r="D21" s="5" t="s">
        <v>25</v>
      </c>
      <c r="E21" s="5" t="s">
        <v>27</v>
      </c>
      <c r="F21" s="5" t="s">
        <v>28</v>
      </c>
      <c r="G21" s="5" t="s">
        <v>28</v>
      </c>
      <c r="H21" s="5" t="s">
        <v>27</v>
      </c>
      <c r="I21" s="5" t="s">
        <v>25</v>
      </c>
      <c r="J21" s="5" t="s">
        <v>26</v>
      </c>
      <c r="K21" s="5" t="s">
        <v>25</v>
      </c>
      <c r="L21" s="5" t="s">
        <v>26</v>
      </c>
      <c r="M21" s="5" t="s">
        <v>28</v>
      </c>
      <c r="N21" s="5" t="s">
        <v>25</v>
      </c>
      <c r="O21" s="5" t="s">
        <v>25</v>
      </c>
      <c r="P21" s="5" t="s">
        <v>27</v>
      </c>
      <c r="Q21" s="5" t="s">
        <v>28</v>
      </c>
      <c r="R21" s="5" t="s">
        <v>26</v>
      </c>
      <c r="S21" s="5" t="s">
        <v>26</v>
      </c>
      <c r="T21" s="5" t="s">
        <v>26</v>
      </c>
      <c r="U21" s="5" t="s">
        <v>25</v>
      </c>
      <c r="V21" s="5" t="s">
        <v>25</v>
      </c>
      <c r="W21" s="5" t="s">
        <v>27</v>
      </c>
      <c r="X21" s="5" t="s">
        <v>27</v>
      </c>
    </row>
    <row r="22">
      <c r="A22" s="4" t="s">
        <v>48</v>
      </c>
      <c r="B22" s="6" t="s">
        <v>28</v>
      </c>
      <c r="C22" s="5" t="s">
        <v>28</v>
      </c>
      <c r="D22" s="5" t="s">
        <v>25</v>
      </c>
      <c r="E22" s="5" t="s">
        <v>25</v>
      </c>
      <c r="F22" s="5" t="s">
        <v>28</v>
      </c>
      <c r="G22" s="5" t="s">
        <v>28</v>
      </c>
      <c r="H22" s="5" t="s">
        <v>26</v>
      </c>
      <c r="I22" s="5" t="s">
        <v>26</v>
      </c>
      <c r="J22" s="5" t="s">
        <v>26</v>
      </c>
      <c r="K22" s="5" t="s">
        <v>26</v>
      </c>
      <c r="L22" s="5" t="s">
        <v>26</v>
      </c>
      <c r="M22" s="5" t="s">
        <v>26</v>
      </c>
      <c r="N22" s="5" t="s">
        <v>25</v>
      </c>
      <c r="O22" s="5" t="s">
        <v>25</v>
      </c>
      <c r="P22" s="5" t="s">
        <v>27</v>
      </c>
      <c r="Q22" s="5" t="s">
        <v>26</v>
      </c>
      <c r="R22" s="5" t="s">
        <v>27</v>
      </c>
      <c r="S22" s="5" t="s">
        <v>27</v>
      </c>
      <c r="T22" s="5" t="s">
        <v>27</v>
      </c>
      <c r="U22" s="5" t="s">
        <v>27</v>
      </c>
      <c r="V22" s="5" t="s">
        <v>27</v>
      </c>
      <c r="W22" s="5" t="s">
        <v>28</v>
      </c>
      <c r="X22" s="5" t="s">
        <v>28</v>
      </c>
    </row>
    <row r="23">
      <c r="A23" s="4" t="s">
        <v>49</v>
      </c>
      <c r="B23" s="4" t="s">
        <v>26</v>
      </c>
      <c r="C23" s="5" t="s">
        <v>27</v>
      </c>
      <c r="D23" s="5" t="s">
        <v>26</v>
      </c>
      <c r="E23" s="5" t="s">
        <v>26</v>
      </c>
      <c r="F23" s="5" t="s">
        <v>28</v>
      </c>
      <c r="G23" s="5" t="s">
        <v>28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25</v>
      </c>
      <c r="M23" s="5" t="s">
        <v>25</v>
      </c>
      <c r="N23" s="5" t="s">
        <v>28</v>
      </c>
      <c r="O23" s="5" t="s">
        <v>27</v>
      </c>
      <c r="P23" s="5" t="s">
        <v>28</v>
      </c>
      <c r="Q23" s="5" t="s">
        <v>28</v>
      </c>
      <c r="R23" s="5" t="s">
        <v>27</v>
      </c>
      <c r="S23" s="5" t="s">
        <v>28</v>
      </c>
      <c r="T23" s="5" t="s">
        <v>27</v>
      </c>
      <c r="U23" s="5" t="s">
        <v>25</v>
      </c>
      <c r="V23" s="5" t="s">
        <v>25</v>
      </c>
      <c r="W23" s="5" t="s">
        <v>25</v>
      </c>
      <c r="X23" s="5" t="s">
        <v>25</v>
      </c>
    </row>
    <row r="24">
      <c r="A24" s="4" t="s">
        <v>50</v>
      </c>
      <c r="B24" s="4" t="s">
        <v>26</v>
      </c>
      <c r="C24" s="5" t="s">
        <v>28</v>
      </c>
      <c r="D24" s="5" t="s">
        <v>27</v>
      </c>
      <c r="E24" s="5" t="s">
        <v>27</v>
      </c>
      <c r="F24" s="5" t="s">
        <v>26</v>
      </c>
      <c r="G24" s="5" t="s">
        <v>28</v>
      </c>
      <c r="H24" s="5" t="s">
        <v>26</v>
      </c>
      <c r="I24" s="5" t="s">
        <v>28</v>
      </c>
      <c r="J24" s="5" t="s">
        <v>26</v>
      </c>
      <c r="K24" s="5" t="s">
        <v>26</v>
      </c>
      <c r="L24" s="5" t="s">
        <v>27</v>
      </c>
      <c r="M24" s="5" t="s">
        <v>25</v>
      </c>
      <c r="N24" s="5" t="s">
        <v>28</v>
      </c>
      <c r="O24" s="5" t="s">
        <v>25</v>
      </c>
      <c r="P24" s="5" t="s">
        <v>27</v>
      </c>
      <c r="Q24" s="5" t="s">
        <v>28</v>
      </c>
      <c r="R24" s="5" t="s">
        <v>27</v>
      </c>
      <c r="S24" s="5" t="s">
        <v>26</v>
      </c>
      <c r="T24" s="5" t="s">
        <v>27</v>
      </c>
      <c r="U24" s="5" t="s">
        <v>25</v>
      </c>
      <c r="V24" s="5" t="s">
        <v>27</v>
      </c>
      <c r="W24" s="5" t="s">
        <v>25</v>
      </c>
      <c r="X24" s="5" t="s">
        <v>25</v>
      </c>
    </row>
    <row r="25">
      <c r="A25" s="4" t="s">
        <v>51</v>
      </c>
      <c r="B25" s="4" t="s">
        <v>26</v>
      </c>
      <c r="C25" s="5" t="s">
        <v>28</v>
      </c>
      <c r="D25" s="5" t="s">
        <v>26</v>
      </c>
      <c r="E25" s="5" t="s">
        <v>26</v>
      </c>
      <c r="F25" s="5" t="s">
        <v>28</v>
      </c>
      <c r="G25" s="5" t="s">
        <v>28</v>
      </c>
      <c r="H25" s="5" t="s">
        <v>26</v>
      </c>
      <c r="I25" s="5" t="s">
        <v>26</v>
      </c>
      <c r="J25" s="5" t="s">
        <v>26</v>
      </c>
      <c r="K25" s="5" t="s">
        <v>28</v>
      </c>
      <c r="L25" s="5" t="s">
        <v>25</v>
      </c>
      <c r="M25" s="5" t="s">
        <v>27</v>
      </c>
      <c r="N25" s="5" t="s">
        <v>28</v>
      </c>
      <c r="O25" s="5" t="s">
        <v>27</v>
      </c>
      <c r="P25" s="5" t="s">
        <v>27</v>
      </c>
      <c r="Q25" s="5" t="s">
        <v>28</v>
      </c>
      <c r="R25" s="5" t="s">
        <v>27</v>
      </c>
      <c r="S25" s="5" t="s">
        <v>26</v>
      </c>
      <c r="T25" s="5" t="s">
        <v>27</v>
      </c>
      <c r="U25" s="5" t="s">
        <v>25</v>
      </c>
      <c r="V25" s="5" t="s">
        <v>25</v>
      </c>
      <c r="W25" s="5" t="s">
        <v>25</v>
      </c>
      <c r="X25" s="5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5" max="6" width="13.88"/>
    <col customWidth="1" min="10" max="10" width="14.0"/>
    <col customWidth="1" min="11" max="11" width="16.13"/>
    <col customWidth="1" min="12" max="12" width="16.5"/>
    <col customWidth="1" min="13" max="13" width="15.63"/>
    <col customWidth="1" min="14" max="14" width="16.5"/>
    <col customWidth="1" min="15" max="15" width="15.88"/>
    <col customWidth="1" min="16" max="16" width="16.5"/>
    <col customWidth="1" min="34" max="34" width="18.38"/>
  </cols>
  <sheetData>
    <row r="1">
      <c r="A1" s="1" t="s">
        <v>0</v>
      </c>
      <c r="B1" s="7" t="s">
        <v>1</v>
      </c>
      <c r="C1" s="8" t="s">
        <v>2</v>
      </c>
      <c r="D1" s="7" t="s">
        <v>3</v>
      </c>
      <c r="E1" s="7"/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AA1" s="5" t="s">
        <v>26</v>
      </c>
      <c r="AB1" s="5" t="s">
        <v>28</v>
      </c>
      <c r="AC1" s="5" t="s">
        <v>27</v>
      </c>
      <c r="AD1" s="5" t="s">
        <v>25</v>
      </c>
      <c r="AE1" s="4" t="s">
        <v>52</v>
      </c>
      <c r="AF1" s="4" t="s">
        <v>53</v>
      </c>
      <c r="AG1" s="4" t="s">
        <v>54</v>
      </c>
      <c r="AH1" s="4" t="s">
        <v>55</v>
      </c>
      <c r="AI1" s="4" t="s">
        <v>56</v>
      </c>
      <c r="AJ1" s="4" t="s">
        <v>57</v>
      </c>
      <c r="AK1" s="4"/>
      <c r="AL1" s="4"/>
    </row>
    <row r="2">
      <c r="A2" s="4" t="s">
        <v>24</v>
      </c>
      <c r="B2" s="4" t="s">
        <v>25</v>
      </c>
      <c r="C2" s="5" t="s">
        <v>26</v>
      </c>
      <c r="D2" s="5" t="s">
        <v>25</v>
      </c>
      <c r="F2" s="5" t="s">
        <v>25</v>
      </c>
      <c r="G2" s="5" t="s">
        <v>27</v>
      </c>
      <c r="H2" s="5" t="s">
        <v>27</v>
      </c>
      <c r="I2" s="5" t="s">
        <v>27</v>
      </c>
      <c r="J2" s="5" t="s">
        <v>25</v>
      </c>
      <c r="K2" s="5" t="s">
        <v>27</v>
      </c>
      <c r="L2" s="5" t="s">
        <v>25</v>
      </c>
      <c r="M2" s="5" t="s">
        <v>26</v>
      </c>
      <c r="N2" s="5" t="s">
        <v>26</v>
      </c>
      <c r="O2" s="5" t="s">
        <v>25</v>
      </c>
      <c r="P2" s="5" t="s">
        <v>26</v>
      </c>
      <c r="Q2" s="5" t="s">
        <v>26</v>
      </c>
      <c r="R2" s="5" t="s">
        <v>27</v>
      </c>
      <c r="S2" s="5" t="s">
        <v>28</v>
      </c>
      <c r="T2" s="5" t="s">
        <v>28</v>
      </c>
      <c r="U2" s="5" t="s">
        <v>26</v>
      </c>
      <c r="V2" s="5" t="s">
        <v>28</v>
      </c>
      <c r="W2" s="5" t="s">
        <v>28</v>
      </c>
      <c r="X2" s="5" t="s">
        <v>28</v>
      </c>
      <c r="Y2" s="5" t="s">
        <v>28</v>
      </c>
      <c r="AA2" s="5">
        <f t="shared" ref="AA2:AD2" si="1">COUNTIF($B2:$Y2,AA$1)</f>
        <v>6</v>
      </c>
      <c r="AB2" s="5">
        <f t="shared" si="1"/>
        <v>6</v>
      </c>
      <c r="AC2" s="5">
        <f t="shared" si="1"/>
        <v>5</v>
      </c>
      <c r="AD2" s="5">
        <f t="shared" si="1"/>
        <v>6</v>
      </c>
      <c r="AE2" s="5">
        <f t="shared" ref="AE2:AE25" si="3">AD2+AC2</f>
        <v>11</v>
      </c>
      <c r="AF2" s="5">
        <f t="shared" ref="AF2:AF25" si="4">AB2+AA2</f>
        <v>12</v>
      </c>
      <c r="AG2" s="5" t="str">
        <f t="shared" ref="AG2:AG25" si="5">IF(AE2&gt;13,"high end",IF(AF2&gt;13,"low end","correct"))</f>
        <v>correct</v>
      </c>
      <c r="AH2" s="5" t="str">
        <f t="shared" ref="AH2:AH25" si="6">IF((AA2-AB2)&gt;2,"low",IF(AB2-AA2&gt;2,"mod low","correct"))</f>
        <v>correct</v>
      </c>
      <c r="AI2" s="5" t="str">
        <f t="shared" ref="AI2:AI25" si="7">IF(AD2-AC2&gt;2,"High",IF(AC2-AD2&gt;2,"mod high","correct"))</f>
        <v>correct</v>
      </c>
      <c r="AJ2" s="5">
        <f t="shared" ref="AJ2:AJ25" si="8">IF(AND(AG2="correct",AH2="correct",AI2="correct"),1,0)</f>
        <v>1</v>
      </c>
    </row>
    <row r="3">
      <c r="A3" s="4" t="s">
        <v>29</v>
      </c>
      <c r="B3" s="5" t="s">
        <v>26</v>
      </c>
      <c r="C3" s="5" t="s">
        <v>27</v>
      </c>
      <c r="D3" s="5" t="s">
        <v>27</v>
      </c>
      <c r="F3" s="5" t="s">
        <v>27</v>
      </c>
      <c r="G3" s="5" t="s">
        <v>25</v>
      </c>
      <c r="H3" s="5" t="s">
        <v>25</v>
      </c>
      <c r="I3" s="5" t="s">
        <v>25</v>
      </c>
      <c r="J3" s="5" t="s">
        <v>27</v>
      </c>
      <c r="K3" s="5" t="s">
        <v>25</v>
      </c>
      <c r="L3" s="5" t="s">
        <v>27</v>
      </c>
      <c r="M3" s="5" t="s">
        <v>28</v>
      </c>
      <c r="N3" s="5" t="s">
        <v>28</v>
      </c>
      <c r="O3" s="5" t="s">
        <v>26</v>
      </c>
      <c r="P3" s="5" t="s">
        <v>28</v>
      </c>
      <c r="Q3" s="5" t="s">
        <v>26</v>
      </c>
      <c r="R3" s="5" t="s">
        <v>27</v>
      </c>
      <c r="S3" s="5" t="s">
        <v>25</v>
      </c>
      <c r="T3" s="5" t="s">
        <v>25</v>
      </c>
      <c r="U3" s="5" t="s">
        <v>27</v>
      </c>
      <c r="V3" s="5" t="s">
        <v>26</v>
      </c>
      <c r="W3" s="5" t="s">
        <v>28</v>
      </c>
      <c r="X3" s="5" t="s">
        <v>26</v>
      </c>
      <c r="Y3" s="5" t="s">
        <v>28</v>
      </c>
      <c r="AA3" s="5">
        <f t="shared" ref="AA3:AD3" si="2">COUNTIF($B3:$Y3,AA$1)</f>
        <v>5</v>
      </c>
      <c r="AB3" s="5">
        <f t="shared" si="2"/>
        <v>5</v>
      </c>
      <c r="AC3" s="5">
        <f t="shared" si="2"/>
        <v>7</v>
      </c>
      <c r="AD3" s="5">
        <f t="shared" si="2"/>
        <v>6</v>
      </c>
      <c r="AE3" s="5">
        <f t="shared" si="3"/>
        <v>13</v>
      </c>
      <c r="AF3" s="5">
        <f t="shared" si="4"/>
        <v>10</v>
      </c>
      <c r="AG3" s="5" t="str">
        <f t="shared" si="5"/>
        <v>correct</v>
      </c>
      <c r="AH3" s="5" t="str">
        <f t="shared" si="6"/>
        <v>correct</v>
      </c>
      <c r="AI3" s="5" t="str">
        <f t="shared" si="7"/>
        <v>correct</v>
      </c>
      <c r="AJ3" s="5">
        <f t="shared" si="8"/>
        <v>1</v>
      </c>
    </row>
    <row r="4">
      <c r="A4" s="4" t="s">
        <v>30</v>
      </c>
      <c r="B4" s="4" t="s">
        <v>25</v>
      </c>
      <c r="C4" s="5" t="s">
        <v>27</v>
      </c>
      <c r="D4" s="5" t="s">
        <v>27</v>
      </c>
      <c r="F4" s="5" t="s">
        <v>28</v>
      </c>
      <c r="G4" s="5" t="s">
        <v>25</v>
      </c>
      <c r="H4" s="5" t="s">
        <v>25</v>
      </c>
      <c r="I4" s="5" t="s">
        <v>25</v>
      </c>
      <c r="J4" s="5" t="s">
        <v>27</v>
      </c>
      <c r="K4" s="5" t="s">
        <v>25</v>
      </c>
      <c r="L4" s="5" t="s">
        <v>27</v>
      </c>
      <c r="M4" s="5" t="s">
        <v>27</v>
      </c>
      <c r="N4" s="5" t="s">
        <v>28</v>
      </c>
      <c r="O4" s="5" t="s">
        <v>26</v>
      </c>
      <c r="P4" s="5" t="s">
        <v>28</v>
      </c>
      <c r="Q4" s="5" t="s">
        <v>26</v>
      </c>
      <c r="R4" s="5" t="s">
        <v>27</v>
      </c>
      <c r="S4" s="5" t="s">
        <v>25</v>
      </c>
      <c r="T4" s="5" t="s">
        <v>28</v>
      </c>
      <c r="U4" s="5" t="s">
        <v>27</v>
      </c>
      <c r="V4" s="5" t="s">
        <v>26</v>
      </c>
      <c r="W4" s="5" t="s">
        <v>28</v>
      </c>
      <c r="X4" s="5" t="s">
        <v>26</v>
      </c>
      <c r="Y4" s="5" t="s">
        <v>28</v>
      </c>
      <c r="AA4" s="5">
        <f t="shared" ref="AA4:AD4" si="9">COUNTIF($B4:$Y4,AA$1)</f>
        <v>4</v>
      </c>
      <c r="AB4" s="5">
        <f t="shared" si="9"/>
        <v>6</v>
      </c>
      <c r="AC4" s="5">
        <f t="shared" si="9"/>
        <v>7</v>
      </c>
      <c r="AD4" s="5">
        <f t="shared" si="9"/>
        <v>6</v>
      </c>
      <c r="AE4" s="5">
        <f t="shared" si="3"/>
        <v>13</v>
      </c>
      <c r="AF4" s="5">
        <f t="shared" si="4"/>
        <v>10</v>
      </c>
      <c r="AG4" s="5" t="str">
        <f t="shared" si="5"/>
        <v>correct</v>
      </c>
      <c r="AH4" s="5" t="str">
        <f t="shared" si="6"/>
        <v>correct</v>
      </c>
      <c r="AI4" s="5" t="str">
        <f t="shared" si="7"/>
        <v>correct</v>
      </c>
      <c r="AJ4" s="5">
        <f t="shared" si="8"/>
        <v>1</v>
      </c>
    </row>
    <row r="5">
      <c r="A5" s="4" t="s">
        <v>31</v>
      </c>
      <c r="B5" s="4" t="s">
        <v>25</v>
      </c>
      <c r="C5" s="5" t="s">
        <v>28</v>
      </c>
      <c r="D5" s="5" t="s">
        <v>27</v>
      </c>
      <c r="F5" s="5" t="s">
        <v>27</v>
      </c>
      <c r="G5" s="5" t="s">
        <v>28</v>
      </c>
      <c r="H5" s="5" t="s">
        <v>28</v>
      </c>
      <c r="I5" s="5" t="s">
        <v>26</v>
      </c>
      <c r="J5" s="5" t="s">
        <v>26</v>
      </c>
      <c r="K5" s="5" t="s">
        <v>25</v>
      </c>
      <c r="L5" s="5" t="s">
        <v>28</v>
      </c>
      <c r="M5" s="5" t="s">
        <v>25</v>
      </c>
      <c r="N5" s="5" t="s">
        <v>28</v>
      </c>
      <c r="O5" s="5" t="s">
        <v>26</v>
      </c>
      <c r="P5" s="5" t="s">
        <v>27</v>
      </c>
      <c r="Q5" s="5" t="s">
        <v>28</v>
      </c>
      <c r="R5" s="5" t="s">
        <v>27</v>
      </c>
      <c r="S5" s="5" t="s">
        <v>25</v>
      </c>
      <c r="T5" s="5" t="s">
        <v>27</v>
      </c>
      <c r="U5" s="5" t="s">
        <v>25</v>
      </c>
      <c r="V5" s="5" t="s">
        <v>26</v>
      </c>
      <c r="W5" s="5" t="s">
        <v>28</v>
      </c>
      <c r="X5" s="5" t="s">
        <v>26</v>
      </c>
      <c r="Y5" s="5" t="s">
        <v>26</v>
      </c>
      <c r="AA5" s="5">
        <f t="shared" ref="AA5:AD5" si="10">COUNTIF($B5:$Y5,AA$1)</f>
        <v>6</v>
      </c>
      <c r="AB5" s="5">
        <f t="shared" si="10"/>
        <v>7</v>
      </c>
      <c r="AC5" s="5">
        <f t="shared" si="10"/>
        <v>5</v>
      </c>
      <c r="AD5" s="5">
        <f t="shared" si="10"/>
        <v>5</v>
      </c>
      <c r="AE5" s="5">
        <f t="shared" si="3"/>
        <v>10</v>
      </c>
      <c r="AF5" s="5">
        <f t="shared" si="4"/>
        <v>13</v>
      </c>
      <c r="AG5" s="5" t="str">
        <f t="shared" si="5"/>
        <v>correct</v>
      </c>
      <c r="AH5" s="5" t="str">
        <f t="shared" si="6"/>
        <v>correct</v>
      </c>
      <c r="AI5" s="5" t="str">
        <f t="shared" si="7"/>
        <v>correct</v>
      </c>
      <c r="AJ5" s="5">
        <f t="shared" si="8"/>
        <v>1</v>
      </c>
    </row>
    <row r="6">
      <c r="A6" s="4" t="s">
        <v>32</v>
      </c>
      <c r="B6" s="4" t="s">
        <v>25</v>
      </c>
      <c r="C6" s="5" t="s">
        <v>26</v>
      </c>
      <c r="D6" s="5" t="s">
        <v>25</v>
      </c>
      <c r="F6" s="5" t="s">
        <v>25</v>
      </c>
      <c r="G6" s="5" t="s">
        <v>28</v>
      </c>
      <c r="H6" s="5" t="s">
        <v>27</v>
      </c>
      <c r="I6" s="5" t="s">
        <v>27</v>
      </c>
      <c r="J6" s="5" t="s">
        <v>25</v>
      </c>
      <c r="K6" s="5" t="s">
        <v>25</v>
      </c>
      <c r="L6" s="5" t="s">
        <v>25</v>
      </c>
      <c r="M6" s="5" t="s">
        <v>26</v>
      </c>
      <c r="N6" s="5" t="s">
        <v>26</v>
      </c>
      <c r="O6" s="5" t="s">
        <v>25</v>
      </c>
      <c r="P6" s="5" t="s">
        <v>26</v>
      </c>
      <c r="Q6" s="5" t="s">
        <v>28</v>
      </c>
      <c r="R6" s="5" t="s">
        <v>27</v>
      </c>
      <c r="S6" s="5" t="s">
        <v>26</v>
      </c>
      <c r="T6" s="5" t="s">
        <v>26</v>
      </c>
      <c r="U6" s="5" t="s">
        <v>28</v>
      </c>
      <c r="V6" s="5" t="s">
        <v>27</v>
      </c>
      <c r="W6" s="5" t="s">
        <v>27</v>
      </c>
      <c r="X6" s="5" t="s">
        <v>27</v>
      </c>
      <c r="Y6" s="5" t="s">
        <v>28</v>
      </c>
      <c r="AA6" s="5">
        <f t="shared" ref="AA6:AD6" si="11">COUNTIF($B6:$Y6,AA$1)</f>
        <v>6</v>
      </c>
      <c r="AB6" s="5">
        <f t="shared" si="11"/>
        <v>4</v>
      </c>
      <c r="AC6" s="5">
        <f t="shared" si="11"/>
        <v>6</v>
      </c>
      <c r="AD6" s="5">
        <f t="shared" si="11"/>
        <v>7</v>
      </c>
      <c r="AE6" s="5">
        <f t="shared" si="3"/>
        <v>13</v>
      </c>
      <c r="AF6" s="5">
        <f t="shared" si="4"/>
        <v>10</v>
      </c>
      <c r="AG6" s="5" t="str">
        <f t="shared" si="5"/>
        <v>correct</v>
      </c>
      <c r="AH6" s="5" t="str">
        <f t="shared" si="6"/>
        <v>correct</v>
      </c>
      <c r="AI6" s="5" t="str">
        <f t="shared" si="7"/>
        <v>correct</v>
      </c>
      <c r="AJ6" s="5">
        <f t="shared" si="8"/>
        <v>1</v>
      </c>
    </row>
    <row r="7">
      <c r="A7" s="4" t="s">
        <v>33</v>
      </c>
      <c r="B7" s="5" t="s">
        <v>27</v>
      </c>
      <c r="C7" s="5" t="s">
        <v>26</v>
      </c>
      <c r="D7" s="5" t="s">
        <v>25</v>
      </c>
      <c r="F7" s="5" t="s">
        <v>25</v>
      </c>
      <c r="G7" s="5" t="s">
        <v>26</v>
      </c>
      <c r="H7" s="5" t="s">
        <v>28</v>
      </c>
      <c r="I7" s="5" t="s">
        <v>25</v>
      </c>
      <c r="J7" s="5" t="s">
        <v>27</v>
      </c>
      <c r="K7" s="5" t="s">
        <v>28</v>
      </c>
      <c r="L7" s="5" t="s">
        <v>25</v>
      </c>
      <c r="M7" s="5" t="s">
        <v>26</v>
      </c>
      <c r="N7" s="5" t="s">
        <v>28</v>
      </c>
      <c r="O7" s="5" t="s">
        <v>25</v>
      </c>
      <c r="P7" s="5" t="s">
        <v>25</v>
      </c>
      <c r="Q7" s="5" t="s">
        <v>27</v>
      </c>
      <c r="R7" s="5" t="s">
        <v>28</v>
      </c>
      <c r="S7" s="5" t="s">
        <v>26</v>
      </c>
      <c r="T7" s="5" t="s">
        <v>26</v>
      </c>
      <c r="U7" s="5" t="s">
        <v>26</v>
      </c>
      <c r="V7" s="5" t="s">
        <v>25</v>
      </c>
      <c r="W7" s="5" t="s">
        <v>27</v>
      </c>
      <c r="X7" s="5" t="s">
        <v>27</v>
      </c>
      <c r="Y7" s="5" t="s">
        <v>27</v>
      </c>
      <c r="AA7" s="5">
        <f t="shared" ref="AA7:AD7" si="12">COUNTIF($B7:$Y7,AA$1)</f>
        <v>6</v>
      </c>
      <c r="AB7" s="5">
        <f t="shared" si="12"/>
        <v>4</v>
      </c>
      <c r="AC7" s="5">
        <f t="shared" si="12"/>
        <v>6</v>
      </c>
      <c r="AD7" s="5">
        <f t="shared" si="12"/>
        <v>7</v>
      </c>
      <c r="AE7" s="5">
        <f t="shared" si="3"/>
        <v>13</v>
      </c>
      <c r="AF7" s="5">
        <f t="shared" si="4"/>
        <v>10</v>
      </c>
      <c r="AG7" s="5" t="str">
        <f t="shared" si="5"/>
        <v>correct</v>
      </c>
      <c r="AH7" s="5" t="str">
        <f t="shared" si="6"/>
        <v>correct</v>
      </c>
      <c r="AI7" s="5" t="str">
        <f t="shared" si="7"/>
        <v>correct</v>
      </c>
      <c r="AJ7" s="5">
        <f t="shared" si="8"/>
        <v>1</v>
      </c>
    </row>
    <row r="8">
      <c r="A8" s="4" t="s">
        <v>34</v>
      </c>
      <c r="B8" s="4" t="s">
        <v>27</v>
      </c>
      <c r="C8" s="5" t="s">
        <v>25</v>
      </c>
      <c r="D8" s="5" t="s">
        <v>26</v>
      </c>
      <c r="F8" s="5" t="s">
        <v>26</v>
      </c>
      <c r="G8" s="5" t="s">
        <v>27</v>
      </c>
      <c r="H8" s="5" t="s">
        <v>25</v>
      </c>
      <c r="I8" s="5" t="s">
        <v>25</v>
      </c>
      <c r="J8" s="5" t="s">
        <v>27</v>
      </c>
      <c r="K8" s="5" t="s">
        <v>25</v>
      </c>
      <c r="L8" s="5" t="s">
        <v>28</v>
      </c>
      <c r="M8" s="5" t="s">
        <v>28</v>
      </c>
      <c r="N8" s="5" t="s">
        <v>25</v>
      </c>
      <c r="O8" s="5" t="s">
        <v>27</v>
      </c>
      <c r="P8" s="5" t="s">
        <v>26</v>
      </c>
      <c r="Q8" s="5" t="s">
        <v>28</v>
      </c>
      <c r="R8" s="5" t="s">
        <v>27</v>
      </c>
      <c r="S8" s="5" t="s">
        <v>25</v>
      </c>
      <c r="T8" s="5" t="s">
        <v>28</v>
      </c>
      <c r="U8" s="5" t="s">
        <v>28</v>
      </c>
      <c r="V8" s="5" t="s">
        <v>26</v>
      </c>
      <c r="W8" s="5" t="s">
        <v>27</v>
      </c>
      <c r="X8" s="5" t="s">
        <v>28</v>
      </c>
      <c r="Y8" s="5" t="s">
        <v>27</v>
      </c>
      <c r="AA8" s="5">
        <f t="shared" ref="AA8:AD8" si="13">COUNTIF($B8:$Y8,AA$1)</f>
        <v>4</v>
      </c>
      <c r="AB8" s="5">
        <f t="shared" si="13"/>
        <v>6</v>
      </c>
      <c r="AC8" s="5">
        <f t="shared" si="13"/>
        <v>7</v>
      </c>
      <c r="AD8" s="5">
        <f t="shared" si="13"/>
        <v>6</v>
      </c>
      <c r="AE8" s="5">
        <f t="shared" si="3"/>
        <v>13</v>
      </c>
      <c r="AF8" s="5">
        <f t="shared" si="4"/>
        <v>10</v>
      </c>
      <c r="AG8" s="5" t="str">
        <f t="shared" si="5"/>
        <v>correct</v>
      </c>
      <c r="AH8" s="5" t="str">
        <f t="shared" si="6"/>
        <v>correct</v>
      </c>
      <c r="AI8" s="5" t="str">
        <f t="shared" si="7"/>
        <v>correct</v>
      </c>
      <c r="AJ8" s="5">
        <f t="shared" si="8"/>
        <v>1</v>
      </c>
    </row>
    <row r="9">
      <c r="A9" s="4" t="s">
        <v>35</v>
      </c>
      <c r="B9" s="4" t="s">
        <v>27</v>
      </c>
      <c r="C9" s="5" t="s">
        <v>27</v>
      </c>
      <c r="D9" s="5" t="s">
        <v>26</v>
      </c>
      <c r="F9" s="5" t="s">
        <v>26</v>
      </c>
      <c r="G9" s="5" t="s">
        <v>25</v>
      </c>
      <c r="H9" s="5" t="s">
        <v>25</v>
      </c>
      <c r="I9" s="5" t="s">
        <v>27</v>
      </c>
      <c r="J9" s="5" t="s">
        <v>28</v>
      </c>
      <c r="K9" s="5" t="s">
        <v>27</v>
      </c>
      <c r="L9" s="5" t="s">
        <v>27</v>
      </c>
      <c r="M9" s="5" t="s">
        <v>28</v>
      </c>
      <c r="N9" s="5" t="s">
        <v>27</v>
      </c>
      <c r="O9" s="5" t="s">
        <v>26</v>
      </c>
      <c r="P9" s="5" t="s">
        <v>26</v>
      </c>
      <c r="Q9" s="5" t="s">
        <v>28</v>
      </c>
      <c r="R9" s="5" t="s">
        <v>25</v>
      </c>
      <c r="S9" s="5" t="s">
        <v>25</v>
      </c>
      <c r="T9" s="5" t="s">
        <v>25</v>
      </c>
      <c r="U9" s="5" t="s">
        <v>28</v>
      </c>
      <c r="V9" s="5" t="s">
        <v>26</v>
      </c>
      <c r="W9" s="5" t="s">
        <v>28</v>
      </c>
      <c r="X9" s="5" t="s">
        <v>26</v>
      </c>
      <c r="Y9" s="5" t="s">
        <v>27</v>
      </c>
      <c r="AA9" s="5">
        <f t="shared" ref="AA9:AD9" si="14">COUNTIF($B9:$Y9,AA$1)</f>
        <v>6</v>
      </c>
      <c r="AB9" s="5">
        <f t="shared" si="14"/>
        <v>5</v>
      </c>
      <c r="AC9" s="5">
        <f t="shared" si="14"/>
        <v>7</v>
      </c>
      <c r="AD9" s="5">
        <f t="shared" si="14"/>
        <v>5</v>
      </c>
      <c r="AE9" s="5">
        <f t="shared" si="3"/>
        <v>12</v>
      </c>
      <c r="AF9" s="5">
        <f t="shared" si="4"/>
        <v>11</v>
      </c>
      <c r="AG9" s="5" t="str">
        <f t="shared" si="5"/>
        <v>correct</v>
      </c>
      <c r="AH9" s="5" t="str">
        <f t="shared" si="6"/>
        <v>correct</v>
      </c>
      <c r="AI9" s="5" t="str">
        <f t="shared" si="7"/>
        <v>correct</v>
      </c>
      <c r="AJ9" s="5">
        <f t="shared" si="8"/>
        <v>1</v>
      </c>
    </row>
    <row r="10">
      <c r="A10" s="4" t="s">
        <v>36</v>
      </c>
      <c r="B10" s="4" t="s">
        <v>27</v>
      </c>
      <c r="C10" s="5" t="s">
        <v>25</v>
      </c>
      <c r="D10" s="5" t="s">
        <v>26</v>
      </c>
      <c r="F10" s="5" t="s">
        <v>26</v>
      </c>
      <c r="G10" s="5" t="s">
        <v>25</v>
      </c>
      <c r="H10" s="5" t="s">
        <v>28</v>
      </c>
      <c r="I10" s="5" t="s">
        <v>28</v>
      </c>
      <c r="J10" s="5" t="s">
        <v>26</v>
      </c>
      <c r="K10" s="5" t="s">
        <v>27</v>
      </c>
      <c r="L10" s="5" t="s">
        <v>26</v>
      </c>
      <c r="M10" s="5" t="s">
        <v>25</v>
      </c>
      <c r="N10" s="5" t="s">
        <v>28</v>
      </c>
      <c r="O10" s="5" t="s">
        <v>26</v>
      </c>
      <c r="P10" s="5" t="s">
        <v>26</v>
      </c>
      <c r="Q10" s="5" t="s">
        <v>28</v>
      </c>
      <c r="R10" s="5" t="s">
        <v>27</v>
      </c>
      <c r="S10" s="5" t="s">
        <v>25</v>
      </c>
      <c r="T10" s="5" t="s">
        <v>25</v>
      </c>
      <c r="U10" s="5" t="s">
        <v>25</v>
      </c>
      <c r="V10" s="5" t="s">
        <v>26</v>
      </c>
      <c r="W10" s="5" t="s">
        <v>28</v>
      </c>
      <c r="X10" s="5" t="s">
        <v>28</v>
      </c>
      <c r="Y10" s="5" t="s">
        <v>27</v>
      </c>
      <c r="AA10" s="5">
        <f t="shared" ref="AA10:AD10" si="15">COUNTIF($B10:$Y10,AA$1)</f>
        <v>7</v>
      </c>
      <c r="AB10" s="5">
        <f t="shared" si="15"/>
        <v>6</v>
      </c>
      <c r="AC10" s="5">
        <f t="shared" si="15"/>
        <v>4</v>
      </c>
      <c r="AD10" s="5">
        <f t="shared" si="15"/>
        <v>6</v>
      </c>
      <c r="AE10" s="5">
        <f t="shared" si="3"/>
        <v>10</v>
      </c>
      <c r="AF10" s="5">
        <f t="shared" si="4"/>
        <v>13</v>
      </c>
      <c r="AG10" s="5" t="str">
        <f t="shared" si="5"/>
        <v>correct</v>
      </c>
      <c r="AH10" s="5" t="str">
        <f t="shared" si="6"/>
        <v>correct</v>
      </c>
      <c r="AI10" s="5" t="str">
        <f t="shared" si="7"/>
        <v>correct</v>
      </c>
      <c r="AJ10" s="5">
        <f t="shared" si="8"/>
        <v>1</v>
      </c>
    </row>
    <row r="11">
      <c r="A11" s="4" t="s">
        <v>37</v>
      </c>
      <c r="B11" s="4" t="s">
        <v>27</v>
      </c>
      <c r="C11" s="5" t="s">
        <v>25</v>
      </c>
      <c r="D11" s="5" t="s">
        <v>26</v>
      </c>
      <c r="F11" s="5" t="s">
        <v>26</v>
      </c>
      <c r="G11" s="5" t="s">
        <v>25</v>
      </c>
      <c r="H11" s="5" t="s">
        <v>27</v>
      </c>
      <c r="I11" s="5" t="s">
        <v>28</v>
      </c>
      <c r="J11" s="5" t="s">
        <v>26</v>
      </c>
      <c r="K11" s="5" t="s">
        <v>27</v>
      </c>
      <c r="L11" s="5" t="s">
        <v>28</v>
      </c>
      <c r="M11" s="5" t="s">
        <v>25</v>
      </c>
      <c r="N11" s="5" t="s">
        <v>28</v>
      </c>
      <c r="O11" s="5" t="s">
        <v>26</v>
      </c>
      <c r="P11" s="5" t="s">
        <v>26</v>
      </c>
      <c r="Q11" s="5" t="s">
        <v>28</v>
      </c>
      <c r="R11" s="5" t="s">
        <v>25</v>
      </c>
      <c r="S11" s="5" t="s">
        <v>25</v>
      </c>
      <c r="T11" s="5" t="s">
        <v>25</v>
      </c>
      <c r="U11" s="5" t="s">
        <v>27</v>
      </c>
      <c r="V11" s="5" t="s">
        <v>26</v>
      </c>
      <c r="W11" s="5" t="s">
        <v>28</v>
      </c>
      <c r="X11" s="5" t="s">
        <v>26</v>
      </c>
      <c r="Y11" s="5" t="s">
        <v>28</v>
      </c>
      <c r="AA11" s="5">
        <f t="shared" ref="AA11:AD11" si="16">COUNTIF($B11:$Y11,AA$1)</f>
        <v>7</v>
      </c>
      <c r="AB11" s="5">
        <f t="shared" si="16"/>
        <v>6</v>
      </c>
      <c r="AC11" s="5">
        <f t="shared" si="16"/>
        <v>4</v>
      </c>
      <c r="AD11" s="5">
        <f t="shared" si="16"/>
        <v>6</v>
      </c>
      <c r="AE11" s="5">
        <f t="shared" si="3"/>
        <v>10</v>
      </c>
      <c r="AF11" s="5">
        <f t="shared" si="4"/>
        <v>13</v>
      </c>
      <c r="AG11" s="5" t="str">
        <f t="shared" si="5"/>
        <v>correct</v>
      </c>
      <c r="AH11" s="5" t="str">
        <f t="shared" si="6"/>
        <v>correct</v>
      </c>
      <c r="AI11" s="5" t="str">
        <f t="shared" si="7"/>
        <v>correct</v>
      </c>
      <c r="AJ11" s="5">
        <f t="shared" si="8"/>
        <v>1</v>
      </c>
    </row>
    <row r="12">
      <c r="A12" s="4" t="s">
        <v>38</v>
      </c>
      <c r="B12" s="4" t="s">
        <v>27</v>
      </c>
      <c r="C12" s="5" t="s">
        <v>25</v>
      </c>
      <c r="D12" s="5" t="s">
        <v>28</v>
      </c>
      <c r="F12" s="5" t="s">
        <v>26</v>
      </c>
      <c r="G12" s="5" t="s">
        <v>27</v>
      </c>
      <c r="H12" s="5" t="s">
        <v>27</v>
      </c>
      <c r="I12" s="5" t="s">
        <v>27</v>
      </c>
      <c r="J12" s="5" t="s">
        <v>26</v>
      </c>
      <c r="K12" s="5" t="s">
        <v>28</v>
      </c>
      <c r="L12" s="5" t="s">
        <v>28</v>
      </c>
      <c r="M12" s="5" t="s">
        <v>25</v>
      </c>
      <c r="N12" s="5" t="s">
        <v>25</v>
      </c>
      <c r="O12" s="5" t="s">
        <v>28</v>
      </c>
      <c r="P12" s="5" t="s">
        <v>26</v>
      </c>
      <c r="Q12" s="5" t="s">
        <v>28</v>
      </c>
      <c r="R12" s="5" t="s">
        <v>27</v>
      </c>
      <c r="S12" s="5" t="s">
        <v>25</v>
      </c>
      <c r="T12" s="5" t="s">
        <v>25</v>
      </c>
      <c r="U12" s="5" t="s">
        <v>27</v>
      </c>
      <c r="V12" s="5" t="s">
        <v>26</v>
      </c>
      <c r="W12" s="5" t="s">
        <v>25</v>
      </c>
      <c r="X12" s="5" t="s">
        <v>28</v>
      </c>
      <c r="Y12" s="5" t="s">
        <v>27</v>
      </c>
      <c r="AA12" s="5">
        <f t="shared" ref="AA12:AD12" si="17">COUNTIF($B12:$Y12,AA$1)</f>
        <v>4</v>
      </c>
      <c r="AB12" s="5">
        <f t="shared" si="17"/>
        <v>6</v>
      </c>
      <c r="AC12" s="5">
        <f t="shared" si="17"/>
        <v>7</v>
      </c>
      <c r="AD12" s="5">
        <f t="shared" si="17"/>
        <v>6</v>
      </c>
      <c r="AE12" s="5">
        <f t="shared" si="3"/>
        <v>13</v>
      </c>
      <c r="AF12" s="5">
        <f t="shared" si="4"/>
        <v>10</v>
      </c>
      <c r="AG12" s="5" t="str">
        <f t="shared" si="5"/>
        <v>correct</v>
      </c>
      <c r="AH12" s="5" t="str">
        <f t="shared" si="6"/>
        <v>correct</v>
      </c>
      <c r="AI12" s="5" t="str">
        <f t="shared" si="7"/>
        <v>correct</v>
      </c>
      <c r="AJ12" s="5">
        <f t="shared" si="8"/>
        <v>1</v>
      </c>
    </row>
    <row r="13">
      <c r="A13" s="4" t="s">
        <v>39</v>
      </c>
      <c r="B13" s="4" t="s">
        <v>27</v>
      </c>
      <c r="C13" s="5" t="s">
        <v>28</v>
      </c>
      <c r="D13" s="5" t="s">
        <v>28</v>
      </c>
      <c r="F13" s="5" t="s">
        <v>26</v>
      </c>
      <c r="G13" s="5" t="s">
        <v>28</v>
      </c>
      <c r="H13" s="5" t="s">
        <v>28</v>
      </c>
      <c r="I13" s="5" t="s">
        <v>27</v>
      </c>
      <c r="J13" s="5" t="s">
        <v>26</v>
      </c>
      <c r="K13" s="5" t="s">
        <v>26</v>
      </c>
      <c r="L13" s="5" t="s">
        <v>27</v>
      </c>
      <c r="M13" s="5" t="s">
        <v>28</v>
      </c>
      <c r="N13" s="5" t="s">
        <v>25</v>
      </c>
      <c r="O13" s="5" t="s">
        <v>25</v>
      </c>
      <c r="P13" s="5" t="s">
        <v>27</v>
      </c>
      <c r="Q13" s="5" t="s">
        <v>25</v>
      </c>
      <c r="R13" s="5" t="s">
        <v>28</v>
      </c>
      <c r="S13" s="5" t="s">
        <v>28</v>
      </c>
      <c r="T13" s="5" t="s">
        <v>26</v>
      </c>
      <c r="U13" s="5" t="s">
        <v>26</v>
      </c>
      <c r="V13" s="5" t="s">
        <v>27</v>
      </c>
      <c r="W13" s="5" t="s">
        <v>25</v>
      </c>
      <c r="X13" s="5" t="s">
        <v>27</v>
      </c>
      <c r="Y13" s="5" t="s">
        <v>25</v>
      </c>
      <c r="AA13" s="5">
        <f t="shared" ref="AA13:AD13" si="18">COUNTIF($B13:$Y13,AA$1)</f>
        <v>5</v>
      </c>
      <c r="AB13" s="5">
        <f t="shared" si="18"/>
        <v>7</v>
      </c>
      <c r="AC13" s="5">
        <f t="shared" si="18"/>
        <v>6</v>
      </c>
      <c r="AD13" s="5">
        <f t="shared" si="18"/>
        <v>5</v>
      </c>
      <c r="AE13" s="5">
        <f t="shared" si="3"/>
        <v>11</v>
      </c>
      <c r="AF13" s="5">
        <f t="shared" si="4"/>
        <v>12</v>
      </c>
      <c r="AG13" s="5" t="str">
        <f t="shared" si="5"/>
        <v>correct</v>
      </c>
      <c r="AH13" s="5" t="str">
        <f t="shared" si="6"/>
        <v>correct</v>
      </c>
      <c r="AI13" s="5" t="str">
        <f t="shared" si="7"/>
        <v>correct</v>
      </c>
      <c r="AJ13" s="5">
        <f t="shared" si="8"/>
        <v>1</v>
      </c>
    </row>
    <row r="14">
      <c r="A14" s="4" t="s">
        <v>40</v>
      </c>
      <c r="B14" s="4" t="s">
        <v>28</v>
      </c>
      <c r="C14" s="5" t="s">
        <v>27</v>
      </c>
      <c r="D14" s="5" t="s">
        <v>28</v>
      </c>
      <c r="F14" s="5" t="s">
        <v>26</v>
      </c>
      <c r="G14" s="5" t="s">
        <v>27</v>
      </c>
      <c r="H14" s="5" t="s">
        <v>27</v>
      </c>
      <c r="I14" s="5" t="s">
        <v>28</v>
      </c>
      <c r="J14" s="5" t="s">
        <v>26</v>
      </c>
      <c r="K14" s="5" t="s">
        <v>26</v>
      </c>
      <c r="L14" s="5" t="s">
        <v>26</v>
      </c>
      <c r="M14" s="5" t="s">
        <v>25</v>
      </c>
      <c r="N14" s="5" t="s">
        <v>25</v>
      </c>
      <c r="O14" s="5" t="s">
        <v>28</v>
      </c>
      <c r="P14" s="5" t="s">
        <v>28</v>
      </c>
      <c r="Q14" s="5" t="s">
        <v>27</v>
      </c>
      <c r="R14" s="5" t="s">
        <v>27</v>
      </c>
      <c r="S14" s="5" t="s">
        <v>25</v>
      </c>
      <c r="T14" s="5" t="s">
        <v>25</v>
      </c>
      <c r="U14" s="5" t="s">
        <v>27</v>
      </c>
      <c r="V14" s="5" t="s">
        <v>26</v>
      </c>
      <c r="W14" s="5" t="s">
        <v>25</v>
      </c>
      <c r="X14" s="5" t="s">
        <v>28</v>
      </c>
      <c r="Y14" s="5" t="s">
        <v>27</v>
      </c>
      <c r="AA14" s="5">
        <f t="shared" ref="AA14:AD14" si="19">COUNTIF($B14:$Y14,AA$1)</f>
        <v>5</v>
      </c>
      <c r="AB14" s="5">
        <f t="shared" si="19"/>
        <v>6</v>
      </c>
      <c r="AC14" s="5">
        <f t="shared" si="19"/>
        <v>7</v>
      </c>
      <c r="AD14" s="5">
        <f t="shared" si="19"/>
        <v>5</v>
      </c>
      <c r="AE14" s="5">
        <f t="shared" si="3"/>
        <v>12</v>
      </c>
      <c r="AF14" s="5">
        <f t="shared" si="4"/>
        <v>11</v>
      </c>
      <c r="AG14" s="5" t="str">
        <f t="shared" si="5"/>
        <v>correct</v>
      </c>
      <c r="AH14" s="5" t="str">
        <f t="shared" si="6"/>
        <v>correct</v>
      </c>
      <c r="AI14" s="5" t="str">
        <f t="shared" si="7"/>
        <v>correct</v>
      </c>
      <c r="AJ14" s="5">
        <f t="shared" si="8"/>
        <v>1</v>
      </c>
    </row>
    <row r="15">
      <c r="A15" s="4" t="s">
        <v>41</v>
      </c>
      <c r="B15" s="4" t="s">
        <v>28</v>
      </c>
      <c r="C15" s="5" t="s">
        <v>25</v>
      </c>
      <c r="D15" s="5" t="s">
        <v>28</v>
      </c>
      <c r="F15" s="5" t="s">
        <v>26</v>
      </c>
      <c r="G15" s="5" t="s">
        <v>27</v>
      </c>
      <c r="H15" s="5" t="s">
        <v>27</v>
      </c>
      <c r="I15" s="5" t="s">
        <v>28</v>
      </c>
      <c r="J15" s="5" t="s">
        <v>26</v>
      </c>
      <c r="K15" s="5" t="s">
        <v>27</v>
      </c>
      <c r="L15" s="5" t="s">
        <v>28</v>
      </c>
      <c r="M15" s="5" t="s">
        <v>27</v>
      </c>
      <c r="N15" s="5" t="s">
        <v>25</v>
      </c>
      <c r="O15" s="5" t="s">
        <v>25</v>
      </c>
      <c r="P15" s="5" t="s">
        <v>28</v>
      </c>
      <c r="Q15" s="5" t="s">
        <v>27</v>
      </c>
      <c r="R15" s="5" t="s">
        <v>27</v>
      </c>
      <c r="S15" s="5" t="s">
        <v>25</v>
      </c>
      <c r="T15" s="5" t="s">
        <v>25</v>
      </c>
      <c r="U15" s="5" t="s">
        <v>28</v>
      </c>
      <c r="V15" s="5" t="s">
        <v>26</v>
      </c>
      <c r="W15" s="5" t="s">
        <v>25</v>
      </c>
      <c r="X15" s="5" t="s">
        <v>26</v>
      </c>
      <c r="Y15" s="5" t="s">
        <v>27</v>
      </c>
      <c r="AA15" s="5">
        <f t="shared" ref="AA15:AD15" si="20">COUNTIF($B15:$Y15,AA$1)</f>
        <v>4</v>
      </c>
      <c r="AB15" s="5">
        <f t="shared" si="20"/>
        <v>6</v>
      </c>
      <c r="AC15" s="5">
        <f t="shared" si="20"/>
        <v>7</v>
      </c>
      <c r="AD15" s="5">
        <f t="shared" si="20"/>
        <v>6</v>
      </c>
      <c r="AE15" s="5">
        <f t="shared" si="3"/>
        <v>13</v>
      </c>
      <c r="AF15" s="5">
        <f t="shared" si="4"/>
        <v>10</v>
      </c>
      <c r="AG15" s="5" t="str">
        <f t="shared" si="5"/>
        <v>correct</v>
      </c>
      <c r="AH15" s="5" t="str">
        <f t="shared" si="6"/>
        <v>correct</v>
      </c>
      <c r="AI15" s="5" t="str">
        <f t="shared" si="7"/>
        <v>correct</v>
      </c>
      <c r="AJ15" s="5">
        <f t="shared" si="8"/>
        <v>1</v>
      </c>
    </row>
    <row r="16">
      <c r="A16" s="4" t="s">
        <v>42</v>
      </c>
      <c r="B16" s="4" t="s">
        <v>28</v>
      </c>
      <c r="C16" s="5" t="s">
        <v>27</v>
      </c>
      <c r="D16" s="5" t="s">
        <v>28</v>
      </c>
      <c r="F16" s="5" t="s">
        <v>28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26</v>
      </c>
      <c r="L16" s="5" t="s">
        <v>28</v>
      </c>
      <c r="M16" s="5" t="s">
        <v>28</v>
      </c>
      <c r="N16" s="5" t="s">
        <v>25</v>
      </c>
      <c r="O16" s="5" t="s">
        <v>27</v>
      </c>
      <c r="P16" s="5" t="s">
        <v>27</v>
      </c>
      <c r="Q16" s="5" t="s">
        <v>25</v>
      </c>
      <c r="R16" s="5" t="s">
        <v>26</v>
      </c>
      <c r="S16" s="5" t="s">
        <v>28</v>
      </c>
      <c r="T16" s="5" t="s">
        <v>26</v>
      </c>
      <c r="U16" s="5" t="s">
        <v>26</v>
      </c>
      <c r="V16" s="5" t="s">
        <v>25</v>
      </c>
      <c r="W16" s="5" t="s">
        <v>25</v>
      </c>
      <c r="X16" s="5" t="s">
        <v>25</v>
      </c>
      <c r="Y16" s="5" t="s">
        <v>25</v>
      </c>
      <c r="AA16" s="5">
        <f t="shared" ref="AA16:AD16" si="21">COUNTIF($B16:$Y16,AA$1)</f>
        <v>4</v>
      </c>
      <c r="AB16" s="5">
        <f t="shared" si="21"/>
        <v>6</v>
      </c>
      <c r="AC16" s="5">
        <f t="shared" si="21"/>
        <v>7</v>
      </c>
      <c r="AD16" s="5">
        <f t="shared" si="21"/>
        <v>6</v>
      </c>
      <c r="AE16" s="5">
        <f t="shared" si="3"/>
        <v>13</v>
      </c>
      <c r="AF16" s="5">
        <f t="shared" si="4"/>
        <v>10</v>
      </c>
      <c r="AG16" s="5" t="str">
        <f t="shared" si="5"/>
        <v>correct</v>
      </c>
      <c r="AH16" s="5" t="str">
        <f t="shared" si="6"/>
        <v>correct</v>
      </c>
      <c r="AI16" s="5" t="str">
        <f t="shared" si="7"/>
        <v>correct</v>
      </c>
      <c r="AJ16" s="5">
        <f t="shared" si="8"/>
        <v>1</v>
      </c>
    </row>
    <row r="17">
      <c r="A17" s="4" t="s">
        <v>43</v>
      </c>
      <c r="B17" s="5" t="s">
        <v>26</v>
      </c>
      <c r="C17" s="5" t="s">
        <v>25</v>
      </c>
      <c r="D17" s="5" t="s">
        <v>26</v>
      </c>
      <c r="F17" s="5" t="s">
        <v>26</v>
      </c>
      <c r="G17" s="5" t="s">
        <v>25</v>
      </c>
      <c r="H17" s="5" t="s">
        <v>28</v>
      </c>
      <c r="I17" s="5" t="s">
        <v>28</v>
      </c>
      <c r="J17" s="5" t="s">
        <v>26</v>
      </c>
      <c r="K17" s="5" t="s">
        <v>26</v>
      </c>
      <c r="L17" s="5" t="s">
        <v>28</v>
      </c>
      <c r="M17" s="5" t="s">
        <v>27</v>
      </c>
      <c r="N17" s="5" t="s">
        <v>27</v>
      </c>
      <c r="O17" s="5" t="s">
        <v>28</v>
      </c>
      <c r="P17" s="5" t="s">
        <v>26</v>
      </c>
      <c r="Q17" s="5" t="s">
        <v>28</v>
      </c>
      <c r="R17" s="5" t="s">
        <v>27</v>
      </c>
      <c r="S17" s="5" t="s">
        <v>27</v>
      </c>
      <c r="T17" s="5" t="s">
        <v>28</v>
      </c>
      <c r="U17" s="5" t="s">
        <v>27</v>
      </c>
      <c r="V17" s="5" t="s">
        <v>28</v>
      </c>
      <c r="W17" s="5" t="s">
        <v>27</v>
      </c>
      <c r="X17" s="5" t="s">
        <v>25</v>
      </c>
      <c r="Y17" s="5" t="s">
        <v>25</v>
      </c>
      <c r="AA17" s="5">
        <f t="shared" ref="AA17:AD17" si="22">COUNTIF($B17:$Y17,AA$1)</f>
        <v>6</v>
      </c>
      <c r="AB17" s="5">
        <f t="shared" si="22"/>
        <v>7</v>
      </c>
      <c r="AC17" s="5">
        <f t="shared" si="22"/>
        <v>6</v>
      </c>
      <c r="AD17" s="5">
        <f t="shared" si="22"/>
        <v>4</v>
      </c>
      <c r="AE17" s="5">
        <f t="shared" si="3"/>
        <v>10</v>
      </c>
      <c r="AF17" s="5">
        <f t="shared" si="4"/>
        <v>13</v>
      </c>
      <c r="AG17" s="5" t="str">
        <f t="shared" si="5"/>
        <v>correct</v>
      </c>
      <c r="AH17" s="5" t="str">
        <f t="shared" si="6"/>
        <v>correct</v>
      </c>
      <c r="AI17" s="5" t="str">
        <f t="shared" si="7"/>
        <v>correct</v>
      </c>
      <c r="AJ17" s="5">
        <f t="shared" si="8"/>
        <v>1</v>
      </c>
    </row>
    <row r="18">
      <c r="A18" s="4" t="s">
        <v>44</v>
      </c>
      <c r="B18" s="4" t="s">
        <v>28</v>
      </c>
      <c r="C18" s="5" t="s">
        <v>28</v>
      </c>
      <c r="D18" s="5" t="s">
        <v>27</v>
      </c>
      <c r="F18" s="5" t="s">
        <v>27</v>
      </c>
      <c r="G18" s="5" t="s">
        <v>28</v>
      </c>
      <c r="H18" s="5" t="s">
        <v>28</v>
      </c>
      <c r="I18" s="5" t="s">
        <v>26</v>
      </c>
      <c r="J18" s="5" t="s">
        <v>25</v>
      </c>
      <c r="K18" s="5" t="s">
        <v>28</v>
      </c>
      <c r="L18" s="5" t="s">
        <v>28</v>
      </c>
      <c r="M18" s="5" t="s">
        <v>26</v>
      </c>
      <c r="N18" s="5" t="s">
        <v>26</v>
      </c>
      <c r="O18" s="5" t="s">
        <v>27</v>
      </c>
      <c r="P18" s="5" t="s">
        <v>25</v>
      </c>
      <c r="Q18" s="5" t="s">
        <v>25</v>
      </c>
      <c r="R18" s="5" t="s">
        <v>26</v>
      </c>
      <c r="S18" s="5" t="s">
        <v>27</v>
      </c>
      <c r="T18" s="5" t="s">
        <v>26</v>
      </c>
      <c r="U18" s="5" t="s">
        <v>27</v>
      </c>
      <c r="V18" s="5" t="s">
        <v>25</v>
      </c>
      <c r="W18" s="5" t="s">
        <v>27</v>
      </c>
      <c r="X18" s="5" t="s">
        <v>25</v>
      </c>
      <c r="Y18" s="5" t="s">
        <v>27</v>
      </c>
      <c r="AA18" s="5">
        <f t="shared" ref="AA18:AD18" si="23">COUNTIF($B18:$Y18,AA$1)</f>
        <v>5</v>
      </c>
      <c r="AB18" s="5">
        <f t="shared" si="23"/>
        <v>6</v>
      </c>
      <c r="AC18" s="5">
        <f t="shared" si="23"/>
        <v>7</v>
      </c>
      <c r="AD18" s="5">
        <f t="shared" si="23"/>
        <v>5</v>
      </c>
      <c r="AE18" s="5">
        <f t="shared" si="3"/>
        <v>12</v>
      </c>
      <c r="AF18" s="5">
        <f t="shared" si="4"/>
        <v>11</v>
      </c>
      <c r="AG18" s="5" t="str">
        <f t="shared" si="5"/>
        <v>correct</v>
      </c>
      <c r="AH18" s="5" t="str">
        <f t="shared" si="6"/>
        <v>correct</v>
      </c>
      <c r="AI18" s="5" t="str">
        <f t="shared" si="7"/>
        <v>correct</v>
      </c>
      <c r="AJ18" s="5">
        <f t="shared" si="8"/>
        <v>1</v>
      </c>
    </row>
    <row r="19">
      <c r="A19" s="4" t="s">
        <v>45</v>
      </c>
      <c r="B19" s="5" t="s">
        <v>26</v>
      </c>
      <c r="C19" s="5" t="s">
        <v>28</v>
      </c>
      <c r="D19" s="5" t="s">
        <v>27</v>
      </c>
      <c r="F19" s="5" t="s">
        <v>27</v>
      </c>
      <c r="G19" s="5" t="s">
        <v>28</v>
      </c>
      <c r="H19" s="5" t="s">
        <v>28</v>
      </c>
      <c r="I19" s="5" t="s">
        <v>26</v>
      </c>
      <c r="J19" s="5" t="s">
        <v>27</v>
      </c>
      <c r="K19" s="5" t="s">
        <v>26</v>
      </c>
      <c r="L19" s="5" t="s">
        <v>28</v>
      </c>
      <c r="M19" s="5" t="s">
        <v>27</v>
      </c>
      <c r="N19" s="5" t="s">
        <v>28</v>
      </c>
      <c r="O19" s="5" t="s">
        <v>27</v>
      </c>
      <c r="P19" s="5" t="s">
        <v>25</v>
      </c>
      <c r="Q19" s="5" t="s">
        <v>25</v>
      </c>
      <c r="R19" s="5" t="s">
        <v>26</v>
      </c>
      <c r="S19" s="5" t="s">
        <v>25</v>
      </c>
      <c r="T19" s="5" t="s">
        <v>26</v>
      </c>
      <c r="U19" s="5" t="s">
        <v>25</v>
      </c>
      <c r="V19" s="5" t="s">
        <v>27</v>
      </c>
      <c r="W19" s="5" t="s">
        <v>27</v>
      </c>
      <c r="X19" s="5" t="s">
        <v>25</v>
      </c>
      <c r="Y19" s="5" t="s">
        <v>28</v>
      </c>
      <c r="AA19" s="5">
        <f t="shared" ref="AA19:AD19" si="24">COUNTIF($B19:$Y19,AA$1)</f>
        <v>5</v>
      </c>
      <c r="AB19" s="5">
        <f t="shared" si="24"/>
        <v>6</v>
      </c>
      <c r="AC19" s="5">
        <f t="shared" si="24"/>
        <v>7</v>
      </c>
      <c r="AD19" s="5">
        <f t="shared" si="24"/>
        <v>5</v>
      </c>
      <c r="AE19" s="5">
        <f t="shared" si="3"/>
        <v>12</v>
      </c>
      <c r="AF19" s="5">
        <f t="shared" si="4"/>
        <v>11</v>
      </c>
      <c r="AG19" s="5" t="str">
        <f t="shared" si="5"/>
        <v>correct</v>
      </c>
      <c r="AH19" s="5" t="str">
        <f t="shared" si="6"/>
        <v>correct</v>
      </c>
      <c r="AI19" s="5" t="str">
        <f t="shared" si="7"/>
        <v>correct</v>
      </c>
      <c r="AJ19" s="5">
        <f t="shared" si="8"/>
        <v>1</v>
      </c>
    </row>
    <row r="20">
      <c r="A20" s="4" t="s">
        <v>46</v>
      </c>
      <c r="B20" s="5" t="s">
        <v>28</v>
      </c>
      <c r="C20" s="5" t="s">
        <v>26</v>
      </c>
      <c r="D20" s="5" t="s">
        <v>25</v>
      </c>
      <c r="F20" s="5" t="s">
        <v>25</v>
      </c>
      <c r="G20" s="5" t="s">
        <v>28</v>
      </c>
      <c r="H20" s="5" t="s">
        <v>28</v>
      </c>
      <c r="I20" s="5" t="s">
        <v>27</v>
      </c>
      <c r="J20" s="5" t="s">
        <v>25</v>
      </c>
      <c r="K20" s="5" t="s">
        <v>26</v>
      </c>
      <c r="L20" s="5" t="s">
        <v>25</v>
      </c>
      <c r="M20" s="5" t="s">
        <v>26</v>
      </c>
      <c r="N20" s="5" t="s">
        <v>26</v>
      </c>
      <c r="O20" s="5" t="s">
        <v>25</v>
      </c>
      <c r="P20" s="5" t="s">
        <v>25</v>
      </c>
      <c r="Q20" s="5" t="s">
        <v>27</v>
      </c>
      <c r="R20" s="5" t="s">
        <v>26</v>
      </c>
      <c r="S20" s="5" t="s">
        <v>27</v>
      </c>
      <c r="T20" s="5" t="s">
        <v>26</v>
      </c>
      <c r="U20" s="5" t="s">
        <v>27</v>
      </c>
      <c r="V20" s="5" t="s">
        <v>25</v>
      </c>
      <c r="W20" s="5" t="s">
        <v>27</v>
      </c>
      <c r="X20" s="5" t="s">
        <v>27</v>
      </c>
      <c r="Y20" s="5" t="s">
        <v>28</v>
      </c>
      <c r="AA20" s="5">
        <f t="shared" ref="AA20:AD20" si="25">COUNTIF($B20:$Y20,AA$1)</f>
        <v>6</v>
      </c>
      <c r="AB20" s="5">
        <f t="shared" si="25"/>
        <v>4</v>
      </c>
      <c r="AC20" s="5">
        <f t="shared" si="25"/>
        <v>6</v>
      </c>
      <c r="AD20" s="5">
        <f t="shared" si="25"/>
        <v>7</v>
      </c>
      <c r="AE20" s="5">
        <f t="shared" si="3"/>
        <v>13</v>
      </c>
      <c r="AF20" s="5">
        <f t="shared" si="4"/>
        <v>10</v>
      </c>
      <c r="AG20" s="5" t="str">
        <f t="shared" si="5"/>
        <v>correct</v>
      </c>
      <c r="AH20" s="5" t="str">
        <f t="shared" si="6"/>
        <v>correct</v>
      </c>
      <c r="AI20" s="5" t="str">
        <f t="shared" si="7"/>
        <v>correct</v>
      </c>
      <c r="AJ20" s="5">
        <f t="shared" si="8"/>
        <v>1</v>
      </c>
    </row>
    <row r="21">
      <c r="A21" s="4" t="s">
        <v>47</v>
      </c>
      <c r="B21" s="5" t="s">
        <v>28</v>
      </c>
      <c r="C21" s="5" t="s">
        <v>26</v>
      </c>
      <c r="D21" s="5" t="s">
        <v>25</v>
      </c>
      <c r="F21" s="5" t="s">
        <v>27</v>
      </c>
      <c r="G21" s="5" t="s">
        <v>28</v>
      </c>
      <c r="H21" s="5" t="s">
        <v>28</v>
      </c>
      <c r="I21" s="5" t="s">
        <v>27</v>
      </c>
      <c r="J21" s="5" t="s">
        <v>25</v>
      </c>
      <c r="K21" s="5" t="s">
        <v>26</v>
      </c>
      <c r="L21" s="5" t="s">
        <v>25</v>
      </c>
      <c r="M21" s="5" t="s">
        <v>26</v>
      </c>
      <c r="N21" s="5" t="s">
        <v>28</v>
      </c>
      <c r="O21" s="5" t="s">
        <v>25</v>
      </c>
      <c r="P21" s="5" t="s">
        <v>25</v>
      </c>
      <c r="Q21" s="5" t="s">
        <v>27</v>
      </c>
      <c r="R21" s="5" t="s">
        <v>28</v>
      </c>
      <c r="S21" s="5" t="s">
        <v>26</v>
      </c>
      <c r="T21" s="5" t="s">
        <v>26</v>
      </c>
      <c r="U21" s="5" t="s">
        <v>26</v>
      </c>
      <c r="V21" s="5" t="s">
        <v>25</v>
      </c>
      <c r="W21" s="5" t="s">
        <v>25</v>
      </c>
      <c r="X21" s="5" t="s">
        <v>27</v>
      </c>
      <c r="Y21" s="5" t="s">
        <v>27</v>
      </c>
      <c r="AA21" s="5">
        <f t="shared" ref="AA21:AD21" si="26">COUNTIF($B21:$Y21,AA$1)</f>
        <v>6</v>
      </c>
      <c r="AB21" s="5">
        <f t="shared" si="26"/>
        <v>5</v>
      </c>
      <c r="AC21" s="5">
        <f t="shared" si="26"/>
        <v>5</v>
      </c>
      <c r="AD21" s="5">
        <f t="shared" si="26"/>
        <v>7</v>
      </c>
      <c r="AE21" s="5">
        <f t="shared" si="3"/>
        <v>12</v>
      </c>
      <c r="AF21" s="5">
        <f t="shared" si="4"/>
        <v>11</v>
      </c>
      <c r="AG21" s="5" t="str">
        <f t="shared" si="5"/>
        <v>correct</v>
      </c>
      <c r="AH21" s="5" t="str">
        <f t="shared" si="6"/>
        <v>correct</v>
      </c>
      <c r="AI21" s="5" t="str">
        <f t="shared" si="7"/>
        <v>correct</v>
      </c>
      <c r="AJ21" s="5">
        <f t="shared" si="8"/>
        <v>1</v>
      </c>
    </row>
    <row r="22">
      <c r="A22" s="4" t="s">
        <v>48</v>
      </c>
      <c r="B22" s="6" t="s">
        <v>28</v>
      </c>
      <c r="C22" s="5" t="s">
        <v>28</v>
      </c>
      <c r="D22" s="5" t="s">
        <v>25</v>
      </c>
      <c r="F22" s="5" t="s">
        <v>25</v>
      </c>
      <c r="G22" s="5" t="s">
        <v>28</v>
      </c>
      <c r="H22" s="5" t="s">
        <v>28</v>
      </c>
      <c r="I22" s="5" t="s">
        <v>26</v>
      </c>
      <c r="J22" s="5" t="s">
        <v>26</v>
      </c>
      <c r="K22" s="5" t="s">
        <v>26</v>
      </c>
      <c r="L22" s="5" t="s">
        <v>26</v>
      </c>
      <c r="M22" s="5" t="s">
        <v>26</v>
      </c>
      <c r="N22" s="5" t="s">
        <v>26</v>
      </c>
      <c r="O22" s="5" t="s">
        <v>25</v>
      </c>
      <c r="P22" s="5" t="s">
        <v>25</v>
      </c>
      <c r="Q22" s="5" t="s">
        <v>27</v>
      </c>
      <c r="R22" s="5" t="s">
        <v>26</v>
      </c>
      <c r="S22" s="5" t="s">
        <v>27</v>
      </c>
      <c r="T22" s="5" t="s">
        <v>27</v>
      </c>
      <c r="U22" s="5" t="s">
        <v>27</v>
      </c>
      <c r="V22" s="5" t="s">
        <v>27</v>
      </c>
      <c r="W22" s="5" t="s">
        <v>27</v>
      </c>
      <c r="X22" s="5" t="s">
        <v>28</v>
      </c>
      <c r="Y22" s="5" t="s">
        <v>28</v>
      </c>
      <c r="AA22" s="5">
        <f t="shared" ref="AA22:AD22" si="27">COUNTIF($B22:$Y22,AA$1)</f>
        <v>7</v>
      </c>
      <c r="AB22" s="5">
        <f t="shared" si="27"/>
        <v>6</v>
      </c>
      <c r="AC22" s="5">
        <f t="shared" si="27"/>
        <v>6</v>
      </c>
      <c r="AD22" s="5">
        <f t="shared" si="27"/>
        <v>4</v>
      </c>
      <c r="AE22" s="5">
        <f t="shared" si="3"/>
        <v>10</v>
      </c>
      <c r="AF22" s="5">
        <f t="shared" si="4"/>
        <v>13</v>
      </c>
      <c r="AG22" s="5" t="str">
        <f t="shared" si="5"/>
        <v>correct</v>
      </c>
      <c r="AH22" s="5" t="str">
        <f t="shared" si="6"/>
        <v>correct</v>
      </c>
      <c r="AI22" s="5" t="str">
        <f t="shared" si="7"/>
        <v>correct</v>
      </c>
      <c r="AJ22" s="5">
        <f t="shared" si="8"/>
        <v>1</v>
      </c>
    </row>
    <row r="23">
      <c r="A23" s="4" t="s">
        <v>49</v>
      </c>
      <c r="B23" s="4" t="s">
        <v>26</v>
      </c>
      <c r="C23" s="5" t="s">
        <v>27</v>
      </c>
      <c r="D23" s="5" t="s">
        <v>26</v>
      </c>
      <c r="F23" s="5" t="s">
        <v>26</v>
      </c>
      <c r="G23" s="5" t="s">
        <v>28</v>
      </c>
      <c r="H23" s="5" t="s">
        <v>28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25</v>
      </c>
      <c r="N23" s="5" t="s">
        <v>25</v>
      </c>
      <c r="O23" s="5" t="s">
        <v>28</v>
      </c>
      <c r="P23" s="5" t="s">
        <v>27</v>
      </c>
      <c r="Q23" s="5" t="s">
        <v>28</v>
      </c>
      <c r="R23" s="5" t="s">
        <v>28</v>
      </c>
      <c r="S23" s="5" t="s">
        <v>27</v>
      </c>
      <c r="T23" s="5" t="s">
        <v>28</v>
      </c>
      <c r="U23" s="5" t="s">
        <v>27</v>
      </c>
      <c r="V23" s="5" t="s">
        <v>25</v>
      </c>
      <c r="W23" s="5" t="s">
        <v>25</v>
      </c>
      <c r="X23" s="5" t="s">
        <v>25</v>
      </c>
      <c r="Y23" s="5" t="s">
        <v>25</v>
      </c>
      <c r="AA23" s="5">
        <f t="shared" ref="AA23:AD23" si="28">COUNTIF($B23:$Y23,AA$1)</f>
        <v>7</v>
      </c>
      <c r="AB23" s="5">
        <f t="shared" si="28"/>
        <v>6</v>
      </c>
      <c r="AC23" s="5">
        <f t="shared" si="28"/>
        <v>4</v>
      </c>
      <c r="AD23" s="5">
        <f t="shared" si="28"/>
        <v>6</v>
      </c>
      <c r="AE23" s="5">
        <f t="shared" si="3"/>
        <v>10</v>
      </c>
      <c r="AF23" s="5">
        <f t="shared" si="4"/>
        <v>13</v>
      </c>
      <c r="AG23" s="5" t="str">
        <f t="shared" si="5"/>
        <v>correct</v>
      </c>
      <c r="AH23" s="5" t="str">
        <f t="shared" si="6"/>
        <v>correct</v>
      </c>
      <c r="AI23" s="5" t="str">
        <f t="shared" si="7"/>
        <v>correct</v>
      </c>
      <c r="AJ23" s="5">
        <f t="shared" si="8"/>
        <v>1</v>
      </c>
    </row>
    <row r="24">
      <c r="A24" s="4" t="s">
        <v>50</v>
      </c>
      <c r="B24" s="4" t="s">
        <v>26</v>
      </c>
      <c r="C24" s="5" t="s">
        <v>28</v>
      </c>
      <c r="D24" s="5" t="s">
        <v>27</v>
      </c>
      <c r="F24" s="5" t="s">
        <v>27</v>
      </c>
      <c r="G24" s="5" t="s">
        <v>26</v>
      </c>
      <c r="H24" s="5" t="s">
        <v>28</v>
      </c>
      <c r="I24" s="5" t="s">
        <v>26</v>
      </c>
      <c r="J24" s="5" t="s">
        <v>28</v>
      </c>
      <c r="K24" s="5" t="s">
        <v>26</v>
      </c>
      <c r="L24" s="5" t="s">
        <v>26</v>
      </c>
      <c r="M24" s="5" t="s">
        <v>27</v>
      </c>
      <c r="N24" s="5" t="s">
        <v>25</v>
      </c>
      <c r="O24" s="5" t="s">
        <v>28</v>
      </c>
      <c r="P24" s="5" t="s">
        <v>25</v>
      </c>
      <c r="Q24" s="5" t="s">
        <v>27</v>
      </c>
      <c r="R24" s="5" t="s">
        <v>28</v>
      </c>
      <c r="S24" s="5" t="s">
        <v>27</v>
      </c>
      <c r="T24" s="5" t="s">
        <v>26</v>
      </c>
      <c r="U24" s="5" t="s">
        <v>27</v>
      </c>
      <c r="V24" s="5" t="s">
        <v>25</v>
      </c>
      <c r="W24" s="5" t="s">
        <v>27</v>
      </c>
      <c r="X24" s="5" t="s">
        <v>25</v>
      </c>
      <c r="Y24" s="5" t="s">
        <v>25</v>
      </c>
      <c r="AA24" s="5">
        <f t="shared" ref="AA24:AD24" si="29">COUNTIF($B24:$Y24,AA$1)</f>
        <v>6</v>
      </c>
      <c r="AB24" s="5">
        <f t="shared" si="29"/>
        <v>5</v>
      </c>
      <c r="AC24" s="5">
        <f t="shared" si="29"/>
        <v>7</v>
      </c>
      <c r="AD24" s="5">
        <f t="shared" si="29"/>
        <v>5</v>
      </c>
      <c r="AE24" s="5">
        <f t="shared" si="3"/>
        <v>12</v>
      </c>
      <c r="AF24" s="5">
        <f t="shared" si="4"/>
        <v>11</v>
      </c>
      <c r="AG24" s="5" t="str">
        <f t="shared" si="5"/>
        <v>correct</v>
      </c>
      <c r="AH24" s="5" t="str">
        <f t="shared" si="6"/>
        <v>correct</v>
      </c>
      <c r="AI24" s="5" t="str">
        <f t="shared" si="7"/>
        <v>correct</v>
      </c>
      <c r="AJ24" s="5">
        <f t="shared" si="8"/>
        <v>1</v>
      </c>
    </row>
    <row r="25">
      <c r="A25" s="4" t="s">
        <v>51</v>
      </c>
      <c r="B25" s="4" t="s">
        <v>26</v>
      </c>
      <c r="C25" s="5" t="s">
        <v>28</v>
      </c>
      <c r="D25" s="5" t="s">
        <v>26</v>
      </c>
      <c r="F25" s="5" t="s">
        <v>26</v>
      </c>
      <c r="G25" s="5" t="s">
        <v>28</v>
      </c>
      <c r="H25" s="5" t="s">
        <v>28</v>
      </c>
      <c r="I25" s="5" t="s">
        <v>26</v>
      </c>
      <c r="J25" s="5" t="s">
        <v>26</v>
      </c>
      <c r="K25" s="5" t="s">
        <v>26</v>
      </c>
      <c r="L25" s="5" t="s">
        <v>28</v>
      </c>
      <c r="M25" s="5" t="s">
        <v>25</v>
      </c>
      <c r="N25" s="5" t="s">
        <v>27</v>
      </c>
      <c r="O25" s="5" t="s">
        <v>28</v>
      </c>
      <c r="P25" s="5" t="s">
        <v>27</v>
      </c>
      <c r="Q25" s="5" t="s">
        <v>27</v>
      </c>
      <c r="R25" s="5" t="s">
        <v>28</v>
      </c>
      <c r="S25" s="5" t="s">
        <v>27</v>
      </c>
      <c r="T25" s="5" t="s">
        <v>26</v>
      </c>
      <c r="U25" s="5" t="s">
        <v>27</v>
      </c>
      <c r="V25" s="5" t="s">
        <v>25</v>
      </c>
      <c r="W25" s="5" t="s">
        <v>25</v>
      </c>
      <c r="X25" s="5" t="s">
        <v>25</v>
      </c>
      <c r="Y25" s="5" t="s">
        <v>27</v>
      </c>
      <c r="AA25" s="5">
        <f t="shared" ref="AA25:AD25" si="30">COUNTIF($B25:$Y25,AA$1)</f>
        <v>7</v>
      </c>
      <c r="AB25" s="5">
        <f t="shared" si="30"/>
        <v>6</v>
      </c>
      <c r="AC25" s="5">
        <f t="shared" si="30"/>
        <v>6</v>
      </c>
      <c r="AD25" s="5">
        <f t="shared" si="30"/>
        <v>4</v>
      </c>
      <c r="AE25" s="5">
        <f t="shared" si="3"/>
        <v>10</v>
      </c>
      <c r="AF25" s="5">
        <f t="shared" si="4"/>
        <v>13</v>
      </c>
      <c r="AG25" s="5" t="str">
        <f t="shared" si="5"/>
        <v>correct</v>
      </c>
      <c r="AH25" s="5" t="str">
        <f t="shared" si="6"/>
        <v>correct</v>
      </c>
      <c r="AI25" s="5" t="str">
        <f t="shared" si="7"/>
        <v>correct</v>
      </c>
      <c r="AJ25" s="5">
        <f t="shared" si="8"/>
        <v>1</v>
      </c>
    </row>
    <row r="27">
      <c r="A27" s="5" t="s">
        <v>26</v>
      </c>
      <c r="B27" s="5">
        <f t="shared" ref="B27:D27" si="31">COUNTIF(B$2:B$25,$A27)</f>
        <v>6</v>
      </c>
      <c r="C27" s="5">
        <f t="shared" si="31"/>
        <v>5</v>
      </c>
      <c r="D27" s="5">
        <f t="shared" si="31"/>
        <v>7</v>
      </c>
      <c r="F27" s="5">
        <f t="shared" ref="F27:Y27" si="32">COUNTIF(F$2:F$25,$A27)</f>
        <v>11</v>
      </c>
      <c r="G27" s="5">
        <f t="shared" si="32"/>
        <v>2</v>
      </c>
      <c r="H27" s="5">
        <f t="shared" si="32"/>
        <v>0</v>
      </c>
      <c r="I27" s="5">
        <f t="shared" si="32"/>
        <v>7</v>
      </c>
      <c r="J27" s="5">
        <f t="shared" si="32"/>
        <v>11</v>
      </c>
      <c r="K27" s="5">
        <f t="shared" si="32"/>
        <v>11</v>
      </c>
      <c r="L27" s="5">
        <f t="shared" si="32"/>
        <v>5</v>
      </c>
      <c r="M27" s="5">
        <f t="shared" si="32"/>
        <v>7</v>
      </c>
      <c r="N27" s="5">
        <f t="shared" si="32"/>
        <v>5</v>
      </c>
      <c r="O27" s="5">
        <f t="shared" si="32"/>
        <v>6</v>
      </c>
      <c r="P27" s="5">
        <f t="shared" si="32"/>
        <v>8</v>
      </c>
      <c r="Q27" s="5">
        <f t="shared" si="32"/>
        <v>3</v>
      </c>
      <c r="R27" s="5">
        <f t="shared" si="32"/>
        <v>5</v>
      </c>
      <c r="S27" s="5">
        <f t="shared" si="32"/>
        <v>3</v>
      </c>
      <c r="T27" s="5">
        <f t="shared" si="32"/>
        <v>10</v>
      </c>
      <c r="U27" s="5">
        <f t="shared" si="32"/>
        <v>5</v>
      </c>
      <c r="V27" s="5">
        <f t="shared" si="32"/>
        <v>10</v>
      </c>
      <c r="W27" s="5">
        <f t="shared" si="32"/>
        <v>0</v>
      </c>
      <c r="X27" s="5">
        <f t="shared" si="32"/>
        <v>6</v>
      </c>
      <c r="Y27" s="5">
        <f t="shared" si="32"/>
        <v>1</v>
      </c>
    </row>
    <row r="28">
      <c r="A28" s="5" t="s">
        <v>28</v>
      </c>
      <c r="B28" s="5">
        <f t="shared" ref="B28:D28" si="33">COUNTIF(B$2:B$25,$A28)</f>
        <v>7</v>
      </c>
      <c r="C28" s="5">
        <f t="shared" si="33"/>
        <v>7</v>
      </c>
      <c r="D28" s="5">
        <f t="shared" si="33"/>
        <v>5</v>
      </c>
      <c r="F28" s="5">
        <f t="shared" ref="F28:Y28" si="34">COUNTIF(F$2:F$25,$A28)</f>
        <v>2</v>
      </c>
      <c r="G28" s="5">
        <f t="shared" si="34"/>
        <v>10</v>
      </c>
      <c r="H28" s="5">
        <f t="shared" si="34"/>
        <v>13</v>
      </c>
      <c r="I28" s="5">
        <f t="shared" si="34"/>
        <v>5</v>
      </c>
      <c r="J28" s="5">
        <f t="shared" si="34"/>
        <v>2</v>
      </c>
      <c r="K28" s="5">
        <f t="shared" si="34"/>
        <v>3</v>
      </c>
      <c r="L28" s="5">
        <f t="shared" si="34"/>
        <v>10</v>
      </c>
      <c r="M28" s="5">
        <f t="shared" si="34"/>
        <v>5</v>
      </c>
      <c r="N28" s="5">
        <f t="shared" si="34"/>
        <v>8</v>
      </c>
      <c r="O28" s="5">
        <f t="shared" si="34"/>
        <v>6</v>
      </c>
      <c r="P28" s="5">
        <f t="shared" si="34"/>
        <v>4</v>
      </c>
      <c r="Q28" s="5">
        <f t="shared" si="34"/>
        <v>9</v>
      </c>
      <c r="R28" s="5">
        <f t="shared" si="34"/>
        <v>6</v>
      </c>
      <c r="S28" s="5">
        <f t="shared" si="34"/>
        <v>3</v>
      </c>
      <c r="T28" s="5">
        <f t="shared" si="34"/>
        <v>5</v>
      </c>
      <c r="U28" s="5">
        <f t="shared" si="34"/>
        <v>4</v>
      </c>
      <c r="V28" s="5">
        <f t="shared" si="34"/>
        <v>2</v>
      </c>
      <c r="W28" s="5">
        <f t="shared" si="34"/>
        <v>7</v>
      </c>
      <c r="X28" s="5">
        <f t="shared" si="34"/>
        <v>6</v>
      </c>
      <c r="Y28" s="5">
        <f t="shared" si="34"/>
        <v>8</v>
      </c>
    </row>
    <row r="29">
      <c r="A29" s="5" t="s">
        <v>27</v>
      </c>
      <c r="B29" s="5">
        <f t="shared" ref="B29:D29" si="35">COUNTIF(B$2:B$25,$A29)</f>
        <v>7</v>
      </c>
      <c r="C29" s="5">
        <f t="shared" si="35"/>
        <v>6</v>
      </c>
      <c r="D29" s="5">
        <f t="shared" si="35"/>
        <v>6</v>
      </c>
      <c r="F29" s="5">
        <f t="shared" ref="F29:Y29" si="36">COUNTIF(F$2:F$25,$A29)</f>
        <v>6</v>
      </c>
      <c r="G29" s="5">
        <f t="shared" si="36"/>
        <v>6</v>
      </c>
      <c r="H29" s="5">
        <f t="shared" si="36"/>
        <v>7</v>
      </c>
      <c r="I29" s="5">
        <f t="shared" si="36"/>
        <v>8</v>
      </c>
      <c r="J29" s="5">
        <f t="shared" si="36"/>
        <v>6</v>
      </c>
      <c r="K29" s="5">
        <f t="shared" si="36"/>
        <v>5</v>
      </c>
      <c r="L29" s="5">
        <f t="shared" si="36"/>
        <v>4</v>
      </c>
      <c r="M29" s="5">
        <f t="shared" si="36"/>
        <v>5</v>
      </c>
      <c r="N29" s="5">
        <f t="shared" si="36"/>
        <v>3</v>
      </c>
      <c r="O29" s="5">
        <f t="shared" si="36"/>
        <v>4</v>
      </c>
      <c r="P29" s="5">
        <f t="shared" si="36"/>
        <v>5</v>
      </c>
      <c r="Q29" s="5">
        <f t="shared" si="36"/>
        <v>8</v>
      </c>
      <c r="R29" s="5">
        <f t="shared" si="36"/>
        <v>11</v>
      </c>
      <c r="S29" s="5">
        <f t="shared" si="36"/>
        <v>7</v>
      </c>
      <c r="T29" s="5">
        <f t="shared" si="36"/>
        <v>2</v>
      </c>
      <c r="U29" s="5">
        <f t="shared" si="36"/>
        <v>12</v>
      </c>
      <c r="V29" s="5">
        <f t="shared" si="36"/>
        <v>4</v>
      </c>
      <c r="W29" s="5">
        <f t="shared" si="36"/>
        <v>9</v>
      </c>
      <c r="X29" s="5">
        <f t="shared" si="36"/>
        <v>5</v>
      </c>
      <c r="Y29" s="5">
        <f t="shared" si="36"/>
        <v>10</v>
      </c>
    </row>
    <row r="30">
      <c r="A30" s="5" t="s">
        <v>25</v>
      </c>
      <c r="B30" s="5">
        <f t="shared" ref="B30:D30" si="37">COUNTIF(B$2:B$25,$A30)</f>
        <v>4</v>
      </c>
      <c r="C30" s="5">
        <f t="shared" si="37"/>
        <v>6</v>
      </c>
      <c r="D30" s="5">
        <f t="shared" si="37"/>
        <v>6</v>
      </c>
      <c r="F30" s="5">
        <f t="shared" ref="F30:Y30" si="38">COUNTIF(F$2:F$25,$A30)</f>
        <v>5</v>
      </c>
      <c r="G30" s="5">
        <f t="shared" si="38"/>
        <v>6</v>
      </c>
      <c r="H30" s="5">
        <f t="shared" si="38"/>
        <v>4</v>
      </c>
      <c r="I30" s="5">
        <f t="shared" si="38"/>
        <v>4</v>
      </c>
      <c r="J30" s="5">
        <f t="shared" si="38"/>
        <v>5</v>
      </c>
      <c r="K30" s="5">
        <f t="shared" si="38"/>
        <v>5</v>
      </c>
      <c r="L30" s="5">
        <f t="shared" si="38"/>
        <v>5</v>
      </c>
      <c r="M30" s="5">
        <f t="shared" si="38"/>
        <v>7</v>
      </c>
      <c r="N30" s="5">
        <f t="shared" si="38"/>
        <v>8</v>
      </c>
      <c r="O30" s="5">
        <f t="shared" si="38"/>
        <v>8</v>
      </c>
      <c r="P30" s="5">
        <f t="shared" si="38"/>
        <v>7</v>
      </c>
      <c r="Q30" s="5">
        <f t="shared" si="38"/>
        <v>4</v>
      </c>
      <c r="R30" s="5">
        <f t="shared" si="38"/>
        <v>2</v>
      </c>
      <c r="S30" s="5">
        <f t="shared" si="38"/>
        <v>11</v>
      </c>
      <c r="T30" s="5">
        <f t="shared" si="38"/>
        <v>7</v>
      </c>
      <c r="U30" s="5">
        <f t="shared" si="38"/>
        <v>3</v>
      </c>
      <c r="V30" s="5">
        <f t="shared" si="38"/>
        <v>8</v>
      </c>
      <c r="W30" s="5">
        <f t="shared" si="38"/>
        <v>8</v>
      </c>
      <c r="X30" s="5">
        <f t="shared" si="38"/>
        <v>7</v>
      </c>
      <c r="Y30" s="5">
        <f t="shared" si="38"/>
        <v>5</v>
      </c>
    </row>
    <row r="31">
      <c r="E31" s="9"/>
      <c r="F31" s="9"/>
    </row>
    <row r="32">
      <c r="A32" s="4" t="s">
        <v>58</v>
      </c>
      <c r="B32" s="5">
        <f t="shared" ref="B32:D32" si="39">B29+B30</f>
        <v>11</v>
      </c>
      <c r="C32" s="5">
        <f t="shared" si="39"/>
        <v>12</v>
      </c>
      <c r="D32" s="5">
        <f t="shared" si="39"/>
        <v>12</v>
      </c>
      <c r="F32" s="5">
        <f t="shared" ref="F32:Y32" si="40">F29+F30</f>
        <v>11</v>
      </c>
      <c r="G32" s="5">
        <f t="shared" si="40"/>
        <v>12</v>
      </c>
      <c r="H32" s="5">
        <f t="shared" si="40"/>
        <v>11</v>
      </c>
      <c r="I32" s="5">
        <f t="shared" si="40"/>
        <v>12</v>
      </c>
      <c r="J32" s="5">
        <f t="shared" si="40"/>
        <v>11</v>
      </c>
      <c r="K32" s="5">
        <f t="shared" si="40"/>
        <v>10</v>
      </c>
      <c r="L32" s="5">
        <f t="shared" si="40"/>
        <v>9</v>
      </c>
      <c r="M32" s="5">
        <f t="shared" si="40"/>
        <v>12</v>
      </c>
      <c r="N32" s="5">
        <f t="shared" si="40"/>
        <v>11</v>
      </c>
      <c r="O32" s="5">
        <f t="shared" si="40"/>
        <v>12</v>
      </c>
      <c r="P32" s="5">
        <f t="shared" si="40"/>
        <v>12</v>
      </c>
      <c r="Q32" s="5">
        <f t="shared" si="40"/>
        <v>12</v>
      </c>
      <c r="R32" s="5">
        <f t="shared" si="40"/>
        <v>13</v>
      </c>
      <c r="S32" s="5">
        <f t="shared" si="40"/>
        <v>18</v>
      </c>
      <c r="T32" s="5">
        <f t="shared" si="40"/>
        <v>9</v>
      </c>
      <c r="U32" s="5">
        <f t="shared" si="40"/>
        <v>15</v>
      </c>
      <c r="V32" s="5">
        <f t="shared" si="40"/>
        <v>12</v>
      </c>
      <c r="W32" s="5">
        <f t="shared" si="40"/>
        <v>17</v>
      </c>
      <c r="X32" s="5">
        <f t="shared" si="40"/>
        <v>12</v>
      </c>
      <c r="Y32" s="5">
        <f t="shared" si="40"/>
        <v>15</v>
      </c>
    </row>
    <row r="33">
      <c r="A33" s="4" t="s">
        <v>59</v>
      </c>
      <c r="B33" s="5">
        <f t="shared" ref="B33:D33" si="41">B28+B27</f>
        <v>13</v>
      </c>
      <c r="C33" s="5">
        <f t="shared" si="41"/>
        <v>12</v>
      </c>
      <c r="D33" s="5">
        <f t="shared" si="41"/>
        <v>12</v>
      </c>
      <c r="F33" s="5">
        <f t="shared" ref="F33:Y33" si="42">F28+F27</f>
        <v>13</v>
      </c>
      <c r="G33" s="5">
        <f t="shared" si="42"/>
        <v>12</v>
      </c>
      <c r="H33" s="5">
        <f t="shared" si="42"/>
        <v>13</v>
      </c>
      <c r="I33" s="5">
        <f t="shared" si="42"/>
        <v>12</v>
      </c>
      <c r="J33" s="5">
        <f t="shared" si="42"/>
        <v>13</v>
      </c>
      <c r="K33" s="5">
        <f t="shared" si="42"/>
        <v>14</v>
      </c>
      <c r="L33" s="5">
        <f t="shared" si="42"/>
        <v>15</v>
      </c>
      <c r="M33" s="5">
        <f t="shared" si="42"/>
        <v>12</v>
      </c>
      <c r="N33" s="5">
        <f t="shared" si="42"/>
        <v>13</v>
      </c>
      <c r="O33" s="5">
        <f t="shared" si="42"/>
        <v>12</v>
      </c>
      <c r="P33" s="5">
        <f t="shared" si="42"/>
        <v>12</v>
      </c>
      <c r="Q33" s="5">
        <f t="shared" si="42"/>
        <v>12</v>
      </c>
      <c r="R33" s="5">
        <f t="shared" si="42"/>
        <v>11</v>
      </c>
      <c r="S33" s="5">
        <f t="shared" si="42"/>
        <v>6</v>
      </c>
      <c r="T33" s="5">
        <f t="shared" si="42"/>
        <v>15</v>
      </c>
      <c r="U33" s="5">
        <f t="shared" si="42"/>
        <v>9</v>
      </c>
      <c r="V33" s="5">
        <f t="shared" si="42"/>
        <v>12</v>
      </c>
      <c r="W33" s="5">
        <f t="shared" si="42"/>
        <v>7</v>
      </c>
      <c r="X33" s="5">
        <f t="shared" si="42"/>
        <v>12</v>
      </c>
      <c r="Y33" s="5">
        <f t="shared" si="42"/>
        <v>9</v>
      </c>
    </row>
    <row r="34">
      <c r="B34" s="5" t="str">
        <f t="shared" ref="B34:D34" si="43">IF(B33-B32&gt;3,"low end",IF(B32-B33&gt;3,"high end","correct"))</f>
        <v>correct</v>
      </c>
      <c r="C34" s="5" t="str">
        <f t="shared" si="43"/>
        <v>correct</v>
      </c>
      <c r="D34" s="5" t="str">
        <f t="shared" si="43"/>
        <v>correct</v>
      </c>
      <c r="F34" s="5" t="str">
        <f t="shared" ref="F34:Y34" si="44">IF(F33-F32&gt;3,"low end",IF(F32-F33&gt;3,"high end","correct"))</f>
        <v>correct</v>
      </c>
      <c r="G34" s="5" t="str">
        <f t="shared" si="44"/>
        <v>correct</v>
      </c>
      <c r="H34" s="5" t="str">
        <f t="shared" si="44"/>
        <v>correct</v>
      </c>
      <c r="I34" s="5" t="str">
        <f t="shared" si="44"/>
        <v>correct</v>
      </c>
      <c r="J34" s="5" t="str">
        <f t="shared" si="44"/>
        <v>correct</v>
      </c>
      <c r="K34" s="5" t="str">
        <f t="shared" si="44"/>
        <v>low end</v>
      </c>
      <c r="L34" s="5" t="str">
        <f t="shared" si="44"/>
        <v>low end</v>
      </c>
      <c r="M34" s="5" t="str">
        <f t="shared" si="44"/>
        <v>correct</v>
      </c>
      <c r="N34" s="5" t="str">
        <f t="shared" si="44"/>
        <v>correct</v>
      </c>
      <c r="O34" s="5" t="str">
        <f t="shared" si="44"/>
        <v>correct</v>
      </c>
      <c r="P34" s="5" t="str">
        <f t="shared" si="44"/>
        <v>correct</v>
      </c>
      <c r="Q34" s="5" t="str">
        <f t="shared" si="44"/>
        <v>correct</v>
      </c>
      <c r="R34" s="5" t="str">
        <f t="shared" si="44"/>
        <v>correct</v>
      </c>
      <c r="S34" s="5" t="str">
        <f t="shared" si="44"/>
        <v>high end</v>
      </c>
      <c r="T34" s="5" t="str">
        <f t="shared" si="44"/>
        <v>low end</v>
      </c>
      <c r="U34" s="5" t="str">
        <f t="shared" si="44"/>
        <v>high end</v>
      </c>
      <c r="V34" s="5" t="str">
        <f t="shared" si="44"/>
        <v>correct</v>
      </c>
      <c r="W34" s="5" t="str">
        <f t="shared" si="44"/>
        <v>high end</v>
      </c>
      <c r="X34" s="5" t="str">
        <f t="shared" si="44"/>
        <v>correct</v>
      </c>
      <c r="Y34" s="5" t="str">
        <f t="shared" si="44"/>
        <v>high end</v>
      </c>
      <c r="Z34" s="1"/>
      <c r="AB34" s="1"/>
    </row>
    <row r="35">
      <c r="K35" s="5">
        <f t="shared" ref="K35:L35" si="45">K33-K32</f>
        <v>4</v>
      </c>
      <c r="L35" s="5">
        <f t="shared" si="45"/>
        <v>6</v>
      </c>
      <c r="S35" s="5">
        <f>S33-S32</f>
        <v>-12</v>
      </c>
      <c r="U35" s="5">
        <f>U33-U32</f>
        <v>-6</v>
      </c>
      <c r="W35" s="5">
        <f>W33-W32</f>
        <v>-10</v>
      </c>
      <c r="Y35" s="5">
        <f>Y33-Y32</f>
        <v>-6</v>
      </c>
    </row>
    <row r="36">
      <c r="B36" s="5" t="s">
        <v>60</v>
      </c>
      <c r="C36" s="5">
        <f t="shared" ref="C36:C38" si="46">COUNTIF($B$34:$Y$34,B36)</f>
        <v>3</v>
      </c>
      <c r="X36" s="4">
        <v>13.0</v>
      </c>
      <c r="Y36" s="4">
        <v>8.0</v>
      </c>
      <c r="Z36" s="5">
        <f>X36-Y36</f>
        <v>5</v>
      </c>
    </row>
    <row r="37">
      <c r="B37" s="5" t="s">
        <v>61</v>
      </c>
      <c r="C37" s="5">
        <f t="shared" si="46"/>
        <v>16</v>
      </c>
      <c r="Y37" s="5">
        <f>(Y36-Z36)</f>
        <v>3</v>
      </c>
      <c r="Z37" s="5">
        <f>Y37/X36</f>
        <v>0.2307692308</v>
      </c>
    </row>
    <row r="38">
      <c r="B38" s="5" t="s">
        <v>62</v>
      </c>
      <c r="C38" s="5">
        <f t="shared" si="46"/>
        <v>4</v>
      </c>
    </row>
    <row r="40">
      <c r="B40" s="4" t="s">
        <v>63</v>
      </c>
      <c r="C40" s="4" t="s">
        <v>64</v>
      </c>
      <c r="D40" s="4" t="s">
        <v>24</v>
      </c>
      <c r="E40" s="4"/>
      <c r="F40" s="4" t="s">
        <v>29</v>
      </c>
      <c r="G40" s="4" t="s">
        <v>30</v>
      </c>
      <c r="H40" s="4" t="s">
        <v>31</v>
      </c>
      <c r="I40" s="4" t="s">
        <v>32</v>
      </c>
      <c r="J40" s="4" t="s">
        <v>33</v>
      </c>
      <c r="K40" s="4" t="s">
        <v>34</v>
      </c>
      <c r="L40" s="4" t="s">
        <v>35</v>
      </c>
      <c r="M40" s="4" t="s">
        <v>36</v>
      </c>
      <c r="N40" s="4" t="s">
        <v>37</v>
      </c>
      <c r="O40" s="4" t="s">
        <v>38</v>
      </c>
      <c r="P40" s="4" t="s">
        <v>39</v>
      </c>
      <c r="Q40" s="4" t="s">
        <v>40</v>
      </c>
      <c r="R40" s="4" t="s">
        <v>41</v>
      </c>
      <c r="S40" s="4" t="s">
        <v>42</v>
      </c>
      <c r="T40" s="4" t="s">
        <v>43</v>
      </c>
      <c r="U40" s="4" t="s">
        <v>44</v>
      </c>
      <c r="V40" s="4" t="s">
        <v>45</v>
      </c>
      <c r="W40" s="4" t="s">
        <v>46</v>
      </c>
      <c r="X40" s="4" t="s">
        <v>47</v>
      </c>
      <c r="Y40" s="4" t="s">
        <v>48</v>
      </c>
      <c r="Z40" s="4" t="s">
        <v>49</v>
      </c>
      <c r="AA40" s="4" t="s">
        <v>50</v>
      </c>
      <c r="AB40" s="4" t="s">
        <v>51</v>
      </c>
    </row>
    <row r="41">
      <c r="B41" s="7" t="s">
        <v>1</v>
      </c>
      <c r="C41" s="4">
        <v>1.0</v>
      </c>
      <c r="D41" s="5" t="str">
        <f t="shared" ref="D41:D63" si="48">INDEX($B$2:$Y$25,MATCH($B41,$B$1:$Y$1,0),MATCH(D$40,$A$2:$A$25,0))</f>
        <v>HIGH</v>
      </c>
      <c r="F41" s="5" t="str">
        <f t="shared" ref="F41:AA41" si="47">INDEX($B$2:$Y$25,MATCH($B41,$B$1:$Y$1,0),MATCH(F$40,$A$2:$A$25,0))</f>
        <v>LOW</v>
      </c>
      <c r="G41" s="5" t="str">
        <f t="shared" si="47"/>
        <v>HIGH</v>
      </c>
      <c r="H41" s="5" t="str">
        <f t="shared" si="47"/>
        <v/>
      </c>
      <c r="I41" s="5" t="str">
        <f t="shared" si="47"/>
        <v>HIGH</v>
      </c>
      <c r="J41" s="5" t="str">
        <f t="shared" si="47"/>
        <v>MOD-HIGH</v>
      </c>
      <c r="K41" s="5" t="str">
        <f t="shared" si="47"/>
        <v>MOD-HIGH</v>
      </c>
      <c r="L41" s="5" t="str">
        <f t="shared" si="47"/>
        <v>MOD-HIGH</v>
      </c>
      <c r="M41" s="5" t="str">
        <f t="shared" si="47"/>
        <v>HIGH</v>
      </c>
      <c r="N41" s="5" t="str">
        <f t="shared" si="47"/>
        <v>MOD-HIGH</v>
      </c>
      <c r="O41" s="5" t="str">
        <f t="shared" si="47"/>
        <v>HIGH</v>
      </c>
      <c r="P41" s="5" t="str">
        <f t="shared" si="47"/>
        <v>LOW</v>
      </c>
      <c r="Q41" s="5" t="str">
        <f t="shared" si="47"/>
        <v>LOW</v>
      </c>
      <c r="R41" s="5" t="str">
        <f t="shared" si="47"/>
        <v>HIGH</v>
      </c>
      <c r="S41" s="5" t="str">
        <f t="shared" si="47"/>
        <v>LOW</v>
      </c>
      <c r="T41" s="5" t="str">
        <f t="shared" si="47"/>
        <v>LOW</v>
      </c>
      <c r="U41" s="5" t="str">
        <f t="shared" si="47"/>
        <v>MOD-HIGH</v>
      </c>
      <c r="V41" s="5" t="str">
        <f t="shared" si="47"/>
        <v>MOD-LOW</v>
      </c>
      <c r="W41" s="5" t="str">
        <f t="shared" si="47"/>
        <v>MOD-LOW</v>
      </c>
      <c r="X41" s="5" t="str">
        <f t="shared" si="47"/>
        <v>LOW</v>
      </c>
      <c r="Y41" s="5" t="str">
        <f t="shared" si="47"/>
        <v>MOD-LOW</v>
      </c>
      <c r="Z41" s="5" t="str">
        <f t="shared" si="47"/>
        <v>MOD-LOW</v>
      </c>
      <c r="AA41" s="5" t="str">
        <f t="shared" si="47"/>
        <v>MOD-LOW</v>
      </c>
      <c r="AB41" s="4" t="s">
        <v>26</v>
      </c>
    </row>
    <row r="42">
      <c r="B42" s="8" t="s">
        <v>2</v>
      </c>
      <c r="D42" s="5" t="str">
        <f t="shared" si="48"/>
        <v>LOW</v>
      </c>
      <c r="F42" s="5" t="str">
        <f t="shared" ref="F42:AA42" si="49">INDEX($B$2:$Y$25,MATCH($B42,$B$1:$Y$1,0),MATCH(F$40,$A$2:$A$25,0))</f>
        <v>MOD-HIGH</v>
      </c>
      <c r="G42" s="5" t="str">
        <f t="shared" si="49"/>
        <v>MOD-HIGH</v>
      </c>
      <c r="H42" s="5" t="str">
        <f t="shared" si="49"/>
        <v/>
      </c>
      <c r="I42" s="5" t="str">
        <f t="shared" si="49"/>
        <v>MOD-HIGH</v>
      </c>
      <c r="J42" s="5" t="str">
        <f t="shared" si="49"/>
        <v>HIGH</v>
      </c>
      <c r="K42" s="5" t="str">
        <f t="shared" si="49"/>
        <v>HIGH</v>
      </c>
      <c r="L42" s="5" t="str">
        <f t="shared" si="49"/>
        <v>HIGH</v>
      </c>
      <c r="M42" s="5" t="str">
        <f t="shared" si="49"/>
        <v>MOD-HIGH</v>
      </c>
      <c r="N42" s="5" t="str">
        <f t="shared" si="49"/>
        <v>HIGH</v>
      </c>
      <c r="O42" s="5" t="str">
        <f t="shared" si="49"/>
        <v>MOD-HIGH</v>
      </c>
      <c r="P42" s="5" t="str">
        <f t="shared" si="49"/>
        <v>MOD-LOW</v>
      </c>
      <c r="Q42" s="5" t="str">
        <f t="shared" si="49"/>
        <v>MOD-LOW</v>
      </c>
      <c r="R42" s="5" t="str">
        <f t="shared" si="49"/>
        <v>LOW</v>
      </c>
      <c r="S42" s="5" t="str">
        <f t="shared" si="49"/>
        <v>MOD-LOW</v>
      </c>
      <c r="T42" s="5" t="str">
        <f t="shared" si="49"/>
        <v>LOW</v>
      </c>
      <c r="U42" s="5" t="str">
        <f t="shared" si="49"/>
        <v>MOD-HIGH</v>
      </c>
      <c r="V42" s="5" t="str">
        <f t="shared" si="49"/>
        <v>HIGH</v>
      </c>
      <c r="W42" s="5" t="str">
        <f t="shared" si="49"/>
        <v>HIGH</v>
      </c>
      <c r="X42" s="5" t="str">
        <f t="shared" si="49"/>
        <v>MOD-HIGH</v>
      </c>
      <c r="Y42" s="5" t="str">
        <f t="shared" si="49"/>
        <v>LOW</v>
      </c>
      <c r="Z42" s="5" t="str">
        <f t="shared" si="49"/>
        <v>MOD-LOW</v>
      </c>
      <c r="AA42" s="5" t="str">
        <f t="shared" si="49"/>
        <v>LOW</v>
      </c>
      <c r="AB42" s="5" t="s">
        <v>28</v>
      </c>
    </row>
    <row r="43">
      <c r="B43" s="7" t="s">
        <v>3</v>
      </c>
      <c r="C43" s="4">
        <v>1.0</v>
      </c>
      <c r="D43" s="5" t="str">
        <f t="shared" si="48"/>
        <v>HIGH</v>
      </c>
      <c r="F43" s="5" t="str">
        <f t="shared" ref="F43:AA43" si="50">INDEX($B$2:$Y$25,MATCH($B43,$B$1:$Y$1,0),MATCH(F$40,$A$2:$A$25,0))</f>
        <v>MOD-HIGH</v>
      </c>
      <c r="G43" s="5" t="str">
        <f t="shared" si="50"/>
        <v>MOD-HIGH</v>
      </c>
      <c r="H43" s="5" t="str">
        <f t="shared" si="50"/>
        <v/>
      </c>
      <c r="I43" s="5" t="str">
        <f t="shared" si="50"/>
        <v>MOD-LOW</v>
      </c>
      <c r="J43" s="5" t="str">
        <f t="shared" si="50"/>
        <v>HIGH</v>
      </c>
      <c r="K43" s="5" t="str">
        <f t="shared" si="50"/>
        <v>HIGH</v>
      </c>
      <c r="L43" s="5" t="str">
        <f t="shared" si="50"/>
        <v>HIGH</v>
      </c>
      <c r="M43" s="5" t="str">
        <f t="shared" si="50"/>
        <v>MOD-HIGH</v>
      </c>
      <c r="N43" s="5" t="str">
        <f t="shared" si="50"/>
        <v>HIGH</v>
      </c>
      <c r="O43" s="5" t="str">
        <f t="shared" si="50"/>
        <v>MOD-HIGH</v>
      </c>
      <c r="P43" s="5" t="str">
        <f t="shared" si="50"/>
        <v>MOD-HIGH</v>
      </c>
      <c r="Q43" s="5" t="str">
        <f t="shared" si="50"/>
        <v>MOD-LOW</v>
      </c>
      <c r="R43" s="5" t="str">
        <f t="shared" si="50"/>
        <v>LOW</v>
      </c>
      <c r="S43" s="5" t="str">
        <f t="shared" si="50"/>
        <v>MOD-LOW</v>
      </c>
      <c r="T43" s="5" t="str">
        <f t="shared" si="50"/>
        <v>LOW</v>
      </c>
      <c r="U43" s="5" t="str">
        <f t="shared" si="50"/>
        <v>MOD-HIGH</v>
      </c>
      <c r="V43" s="5" t="str">
        <f t="shared" si="50"/>
        <v>HIGH</v>
      </c>
      <c r="W43" s="5" t="str">
        <f t="shared" si="50"/>
        <v>MOD-LOW</v>
      </c>
      <c r="X43" s="5" t="str">
        <f t="shared" si="50"/>
        <v>MOD-HIGH</v>
      </c>
      <c r="Y43" s="5" t="str">
        <f t="shared" si="50"/>
        <v>LOW</v>
      </c>
      <c r="Z43" s="5" t="str">
        <f t="shared" si="50"/>
        <v>MOD-LOW</v>
      </c>
      <c r="AA43" s="5" t="str">
        <f t="shared" si="50"/>
        <v>LOW</v>
      </c>
      <c r="AB43" s="5" t="s">
        <v>26</v>
      </c>
    </row>
    <row r="44">
      <c r="B44" s="7" t="s">
        <v>4</v>
      </c>
      <c r="D44" s="5" t="str">
        <f t="shared" si="48"/>
        <v>HIGH</v>
      </c>
      <c r="F44" s="5" t="str">
        <f t="shared" ref="F44:AA44" si="51">INDEX($B$2:$Y$25,MATCH($B44,$B$1:$Y$1,0),MATCH(F$40,$A$2:$A$25,0))</f>
        <v>LOW</v>
      </c>
      <c r="G44" s="5" t="str">
        <f t="shared" si="51"/>
        <v>HIGH</v>
      </c>
      <c r="H44" s="5" t="str">
        <f t="shared" si="51"/>
        <v/>
      </c>
      <c r="I44" s="5" t="str">
        <f t="shared" si="51"/>
        <v>HIGH</v>
      </c>
      <c r="J44" s="5" t="str">
        <f t="shared" si="51"/>
        <v>MOD-LOW</v>
      </c>
      <c r="K44" s="5" t="str">
        <f t="shared" si="51"/>
        <v>MOD-HIGH</v>
      </c>
      <c r="L44" s="5" t="str">
        <f t="shared" si="51"/>
        <v>MOD-HIGH</v>
      </c>
      <c r="M44" s="5" t="str">
        <f t="shared" si="51"/>
        <v>HIGH</v>
      </c>
      <c r="N44" s="5" t="str">
        <f t="shared" si="51"/>
        <v>HIGH</v>
      </c>
      <c r="O44" s="5" t="str">
        <f t="shared" si="51"/>
        <v>HIGH</v>
      </c>
      <c r="P44" s="5" t="str">
        <f t="shared" si="51"/>
        <v>LOW</v>
      </c>
      <c r="Q44" s="5" t="str">
        <f t="shared" si="51"/>
        <v>LOW</v>
      </c>
      <c r="R44" s="5" t="str">
        <f t="shared" si="51"/>
        <v>HIGH</v>
      </c>
      <c r="S44" s="5" t="str">
        <f t="shared" si="51"/>
        <v>LOW</v>
      </c>
      <c r="T44" s="5" t="str">
        <f t="shared" si="51"/>
        <v>MOD-LOW</v>
      </c>
      <c r="U44" s="5" t="str">
        <f t="shared" si="51"/>
        <v>MOD-HIGH</v>
      </c>
      <c r="V44" s="5" t="str">
        <f t="shared" si="51"/>
        <v>LOW</v>
      </c>
      <c r="W44" s="5" t="str">
        <f t="shared" si="51"/>
        <v>LOW</v>
      </c>
      <c r="X44" s="5" t="str">
        <f t="shared" si="51"/>
        <v>MOD-LOW</v>
      </c>
      <c r="Y44" s="5" t="str">
        <f t="shared" si="51"/>
        <v>MOD-HIGH</v>
      </c>
      <c r="Z44" s="5" t="str">
        <f t="shared" si="51"/>
        <v>MOD-HIGH</v>
      </c>
      <c r="AA44" s="5" t="str">
        <f t="shared" si="51"/>
        <v>MOD-HIGH</v>
      </c>
      <c r="AB44" s="5" t="s">
        <v>26</v>
      </c>
    </row>
    <row r="45">
      <c r="B45" s="7" t="s">
        <v>5</v>
      </c>
      <c r="C45" s="4">
        <v>1.0</v>
      </c>
      <c r="D45" s="5" t="str">
        <f t="shared" si="48"/>
        <v>MOD-HIGH</v>
      </c>
      <c r="F45" s="5" t="str">
        <f t="shared" ref="F45:AA45" si="52">INDEX($B$2:$Y$25,MATCH($B45,$B$1:$Y$1,0),MATCH(F$40,$A$2:$A$25,0))</f>
        <v>LOW</v>
      </c>
      <c r="G45" s="5" t="str">
        <f t="shared" si="52"/>
        <v>HIGH</v>
      </c>
      <c r="H45" s="5" t="str">
        <f t="shared" si="52"/>
        <v/>
      </c>
      <c r="I45" s="5" t="str">
        <f t="shared" si="52"/>
        <v>HIGH</v>
      </c>
      <c r="J45" s="5" t="str">
        <f t="shared" si="52"/>
        <v>LOW</v>
      </c>
      <c r="K45" s="5" t="str">
        <f t="shared" si="52"/>
        <v>MOD-LOW</v>
      </c>
      <c r="L45" s="5" t="str">
        <f t="shared" si="52"/>
        <v>HIGH</v>
      </c>
      <c r="M45" s="5" t="str">
        <f t="shared" si="52"/>
        <v>MOD-HIGH</v>
      </c>
      <c r="N45" s="5" t="str">
        <f t="shared" si="52"/>
        <v>MOD-LOW</v>
      </c>
      <c r="O45" s="5" t="str">
        <f t="shared" si="52"/>
        <v>HIGH</v>
      </c>
      <c r="P45" s="5" t="str">
        <f t="shared" si="52"/>
        <v>LOW</v>
      </c>
      <c r="Q45" s="5" t="str">
        <f t="shared" si="52"/>
        <v>MOD-LOW</v>
      </c>
      <c r="R45" s="5" t="str">
        <f t="shared" si="52"/>
        <v>HIGH</v>
      </c>
      <c r="S45" s="5" t="str">
        <f t="shared" si="52"/>
        <v>HIGH</v>
      </c>
      <c r="T45" s="5" t="str">
        <f t="shared" si="52"/>
        <v>MOD-HIGH</v>
      </c>
      <c r="U45" s="5" t="str">
        <f t="shared" si="52"/>
        <v>MOD-LOW</v>
      </c>
      <c r="V45" s="5" t="str">
        <f t="shared" si="52"/>
        <v>LOW</v>
      </c>
      <c r="W45" s="5" t="str">
        <f t="shared" si="52"/>
        <v>LOW</v>
      </c>
      <c r="X45" s="5" t="str">
        <f t="shared" si="52"/>
        <v>LOW</v>
      </c>
      <c r="Y45" s="5" t="str">
        <f t="shared" si="52"/>
        <v>HIGH</v>
      </c>
      <c r="Z45" s="5" t="str">
        <f t="shared" si="52"/>
        <v>MOD-HIGH</v>
      </c>
      <c r="AA45" s="5" t="str">
        <f t="shared" si="52"/>
        <v>MOD-HIGH</v>
      </c>
      <c r="AB45" s="5" t="s">
        <v>28</v>
      </c>
    </row>
    <row r="46">
      <c r="B46" s="7" t="s">
        <v>6</v>
      </c>
      <c r="D46" s="5" t="str">
        <f t="shared" si="48"/>
        <v>MOD-HIGH</v>
      </c>
      <c r="F46" s="5" t="str">
        <f t="shared" ref="F46:AA46" si="53">INDEX($B$2:$Y$25,MATCH($B46,$B$1:$Y$1,0),MATCH(F$40,$A$2:$A$25,0))</f>
        <v>HIGH</v>
      </c>
      <c r="G46" s="5" t="str">
        <f t="shared" si="53"/>
        <v>LOW</v>
      </c>
      <c r="H46" s="5" t="str">
        <f t="shared" si="53"/>
        <v/>
      </c>
      <c r="I46" s="5" t="str">
        <f t="shared" si="53"/>
        <v>LOW</v>
      </c>
      <c r="J46" s="5" t="str">
        <f t="shared" si="53"/>
        <v>MOD-HIGH</v>
      </c>
      <c r="K46" s="5" t="str">
        <f t="shared" si="53"/>
        <v>HIGH</v>
      </c>
      <c r="L46" s="5" t="str">
        <f t="shared" si="53"/>
        <v>HIGH</v>
      </c>
      <c r="M46" s="5" t="str">
        <f t="shared" si="53"/>
        <v>MOD-HIGH</v>
      </c>
      <c r="N46" s="5" t="str">
        <f t="shared" si="53"/>
        <v>HIGH</v>
      </c>
      <c r="O46" s="5" t="str">
        <f t="shared" si="53"/>
        <v>MOD-LOW</v>
      </c>
      <c r="P46" s="5" t="str">
        <f t="shared" si="53"/>
        <v>MOD-LOW</v>
      </c>
      <c r="Q46" s="5" t="str">
        <f t="shared" si="53"/>
        <v>HIGH</v>
      </c>
      <c r="R46" s="5" t="str">
        <f t="shared" si="53"/>
        <v>MOD-HIGH</v>
      </c>
      <c r="S46" s="5" t="str">
        <f t="shared" si="53"/>
        <v>LOW</v>
      </c>
      <c r="T46" s="5" t="str">
        <f t="shared" si="53"/>
        <v>MOD-LOW</v>
      </c>
      <c r="U46" s="5" t="str">
        <f t="shared" si="53"/>
        <v>MOD-HIGH</v>
      </c>
      <c r="V46" s="5" t="str">
        <f t="shared" si="53"/>
        <v>HIGH</v>
      </c>
      <c r="W46" s="5" t="str">
        <f t="shared" si="53"/>
        <v>MOD-LOW</v>
      </c>
      <c r="X46" s="5" t="str">
        <f t="shared" si="53"/>
        <v>MOD-LOW</v>
      </c>
      <c r="Y46" s="5" t="str">
        <f t="shared" si="53"/>
        <v>LOW</v>
      </c>
      <c r="Z46" s="5" t="str">
        <f t="shared" si="53"/>
        <v>MOD-HIGH</v>
      </c>
      <c r="AA46" s="5" t="str">
        <f t="shared" si="53"/>
        <v>MOD-LOW</v>
      </c>
      <c r="AB46" s="5" t="s">
        <v>28</v>
      </c>
    </row>
    <row r="47">
      <c r="B47" s="7" t="s">
        <v>7</v>
      </c>
      <c r="D47" s="5" t="str">
        <f t="shared" si="48"/>
        <v>MOD-HIGH</v>
      </c>
      <c r="F47" s="5" t="str">
        <f t="shared" ref="F47:AA47" si="54">INDEX($B$2:$Y$25,MATCH($B47,$B$1:$Y$1,0),MATCH(F$40,$A$2:$A$25,0))</f>
        <v>MOD-HIGH</v>
      </c>
      <c r="G47" s="5" t="str">
        <f t="shared" si="54"/>
        <v>LOW</v>
      </c>
      <c r="H47" s="5" t="str">
        <f t="shared" si="54"/>
        <v/>
      </c>
      <c r="I47" s="5" t="str">
        <f t="shared" si="54"/>
        <v>LOW</v>
      </c>
      <c r="J47" s="5" t="str">
        <f t="shared" si="54"/>
        <v>HIGH</v>
      </c>
      <c r="K47" s="5" t="str">
        <f t="shared" si="54"/>
        <v>HIGH</v>
      </c>
      <c r="L47" s="5" t="str">
        <f t="shared" si="54"/>
        <v>MOD-HIGH</v>
      </c>
      <c r="M47" s="5" t="str">
        <f t="shared" si="54"/>
        <v>MOD-LOW</v>
      </c>
      <c r="N47" s="5" t="str">
        <f t="shared" si="54"/>
        <v>MOD-HIGH</v>
      </c>
      <c r="O47" s="5" t="str">
        <f t="shared" si="54"/>
        <v>MOD-HIGH</v>
      </c>
      <c r="P47" s="5" t="str">
        <f t="shared" si="54"/>
        <v>MOD-LOW</v>
      </c>
      <c r="Q47" s="5" t="str">
        <f t="shared" si="54"/>
        <v>MOD-HIGH</v>
      </c>
      <c r="R47" s="5" t="str">
        <f t="shared" si="54"/>
        <v>LOW</v>
      </c>
      <c r="S47" s="5" t="str">
        <f t="shared" si="54"/>
        <v>LOW</v>
      </c>
      <c r="T47" s="5" t="str">
        <f t="shared" si="54"/>
        <v>MOD-LOW</v>
      </c>
      <c r="U47" s="5" t="str">
        <f t="shared" si="54"/>
        <v>HIGH</v>
      </c>
      <c r="V47" s="5" t="str">
        <f t="shared" si="54"/>
        <v>HIGH</v>
      </c>
      <c r="W47" s="5" t="str">
        <f t="shared" si="54"/>
        <v>HIGH</v>
      </c>
      <c r="X47" s="5" t="str">
        <f t="shared" si="54"/>
        <v>MOD-LOW</v>
      </c>
      <c r="Y47" s="5" t="str">
        <f t="shared" si="54"/>
        <v>LOW</v>
      </c>
      <c r="Z47" s="5" t="str">
        <f t="shared" si="54"/>
        <v>MOD-LOW</v>
      </c>
      <c r="AA47" s="5" t="str">
        <f t="shared" si="54"/>
        <v>LOW</v>
      </c>
      <c r="AB47" s="5" t="s">
        <v>26</v>
      </c>
    </row>
    <row r="48">
      <c r="B48" s="7" t="s">
        <v>8</v>
      </c>
      <c r="D48" s="5" t="str">
        <f t="shared" si="48"/>
        <v>MOD-HIGH</v>
      </c>
      <c r="F48" s="5" t="str">
        <f t="shared" ref="F48:AA48" si="55">INDEX($B$2:$Y$25,MATCH($B48,$B$1:$Y$1,0),MATCH(F$40,$A$2:$A$25,0))</f>
        <v>HIGH</v>
      </c>
      <c r="G48" s="5" t="str">
        <f t="shared" si="55"/>
        <v>LOW</v>
      </c>
      <c r="H48" s="5" t="str">
        <f t="shared" si="55"/>
        <v/>
      </c>
      <c r="I48" s="5" t="str">
        <f t="shared" si="55"/>
        <v>LOW</v>
      </c>
      <c r="J48" s="5" t="str">
        <f t="shared" si="55"/>
        <v>HIGH</v>
      </c>
      <c r="K48" s="5" t="str">
        <f t="shared" si="55"/>
        <v>MOD-LOW</v>
      </c>
      <c r="L48" s="5" t="str">
        <f t="shared" si="55"/>
        <v>MOD-LOW</v>
      </c>
      <c r="M48" s="5" t="str">
        <f t="shared" si="55"/>
        <v>LOW</v>
      </c>
      <c r="N48" s="5" t="str">
        <f t="shared" si="55"/>
        <v>MOD-HIGH</v>
      </c>
      <c r="O48" s="5" t="str">
        <f t="shared" si="55"/>
        <v>LOW</v>
      </c>
      <c r="P48" s="5" t="str">
        <f t="shared" si="55"/>
        <v>HIGH</v>
      </c>
      <c r="Q48" s="5" t="str">
        <f t="shared" si="55"/>
        <v>MOD-LOW</v>
      </c>
      <c r="R48" s="5" t="str">
        <f t="shared" si="55"/>
        <v>LOW</v>
      </c>
      <c r="S48" s="5" t="str">
        <f t="shared" si="55"/>
        <v>LOW</v>
      </c>
      <c r="T48" s="5" t="str">
        <f t="shared" si="55"/>
        <v>MOD-LOW</v>
      </c>
      <c r="U48" s="5" t="str">
        <f t="shared" si="55"/>
        <v>MOD-HIGH</v>
      </c>
      <c r="V48" s="5" t="str">
        <f t="shared" si="55"/>
        <v>HIGH</v>
      </c>
      <c r="W48" s="5" t="str">
        <f t="shared" si="55"/>
        <v>HIGH</v>
      </c>
      <c r="X48" s="5" t="str">
        <f t="shared" si="55"/>
        <v>HIGH</v>
      </c>
      <c r="Y48" s="5" t="str">
        <f t="shared" si="55"/>
        <v>LOW</v>
      </c>
      <c r="Z48" s="5" t="str">
        <f t="shared" si="55"/>
        <v>MOD-LOW</v>
      </c>
      <c r="AA48" s="5" t="str">
        <f t="shared" si="55"/>
        <v>MOD-LOW</v>
      </c>
      <c r="AB48" s="5" t="s">
        <v>26</v>
      </c>
    </row>
    <row r="49">
      <c r="B49" s="7" t="s">
        <v>9</v>
      </c>
      <c r="C49" s="4">
        <v>1.0</v>
      </c>
      <c r="D49" s="5" t="str">
        <f t="shared" si="48"/>
        <v>MOD-HIGH</v>
      </c>
      <c r="F49" s="5" t="str">
        <f t="shared" ref="F49:AA49" si="56">INDEX($B$2:$Y$25,MATCH($B49,$B$1:$Y$1,0),MATCH(F$40,$A$2:$A$25,0))</f>
        <v>HIGH</v>
      </c>
      <c r="G49" s="5" t="str">
        <f t="shared" si="56"/>
        <v>LOW</v>
      </c>
      <c r="H49" s="5" t="str">
        <f t="shared" si="56"/>
        <v/>
      </c>
      <c r="I49" s="5" t="str">
        <f t="shared" si="56"/>
        <v>LOW</v>
      </c>
      <c r="J49" s="5" t="str">
        <f t="shared" si="56"/>
        <v>HIGH</v>
      </c>
      <c r="K49" s="5" t="str">
        <f t="shared" si="56"/>
        <v>MOD-HIGH</v>
      </c>
      <c r="L49" s="5" t="str">
        <f t="shared" si="56"/>
        <v>MOD-LOW</v>
      </c>
      <c r="M49" s="5" t="str">
        <f t="shared" si="56"/>
        <v>LOW</v>
      </c>
      <c r="N49" s="5" t="str">
        <f t="shared" si="56"/>
        <v>MOD-HIGH</v>
      </c>
      <c r="O49" s="5" t="str">
        <f t="shared" si="56"/>
        <v>MOD-LOW</v>
      </c>
      <c r="P49" s="5" t="str">
        <f t="shared" si="56"/>
        <v>HIGH</v>
      </c>
      <c r="Q49" s="5" t="str">
        <f t="shared" si="56"/>
        <v>MOD-LOW</v>
      </c>
      <c r="R49" s="5" t="str">
        <f t="shared" si="56"/>
        <v>LOW</v>
      </c>
      <c r="S49" s="5" t="str">
        <f t="shared" si="56"/>
        <v>LOW</v>
      </c>
      <c r="T49" s="5" t="str">
        <f t="shared" si="56"/>
        <v>MOD-LOW</v>
      </c>
      <c r="U49" s="5" t="str">
        <f t="shared" si="56"/>
        <v>HIGH</v>
      </c>
      <c r="V49" s="5" t="str">
        <f t="shared" si="56"/>
        <v>HIGH</v>
      </c>
      <c r="W49" s="5" t="str">
        <f t="shared" si="56"/>
        <v>HIGH</v>
      </c>
      <c r="X49" s="5" t="str">
        <f t="shared" si="56"/>
        <v>MOD-HIGH</v>
      </c>
      <c r="Y49" s="5" t="str">
        <f t="shared" si="56"/>
        <v>LOW</v>
      </c>
      <c r="Z49" s="5" t="str">
        <f t="shared" si="56"/>
        <v>MOD-LOW</v>
      </c>
      <c r="AA49" s="5" t="str">
        <f t="shared" si="56"/>
        <v>LOW</v>
      </c>
      <c r="AB49" s="5" t="s">
        <v>26</v>
      </c>
    </row>
    <row r="50">
      <c r="B50" s="7" t="s">
        <v>10</v>
      </c>
      <c r="C50" s="4">
        <v>1.0</v>
      </c>
      <c r="D50" s="5" t="str">
        <f t="shared" si="48"/>
        <v>MOD-HIGH</v>
      </c>
      <c r="F50" s="5" t="str">
        <f t="shared" ref="F50:AA50" si="57">INDEX($B$2:$Y$25,MATCH($B50,$B$1:$Y$1,0),MATCH(F$40,$A$2:$A$25,0))</f>
        <v>HIGH</v>
      </c>
      <c r="G50" s="5" t="str">
        <f t="shared" si="57"/>
        <v>MOD-LOW</v>
      </c>
      <c r="H50" s="5" t="str">
        <f t="shared" si="57"/>
        <v/>
      </c>
      <c r="I50" s="5" t="str">
        <f t="shared" si="57"/>
        <v>LOW</v>
      </c>
      <c r="J50" s="5" t="str">
        <f t="shared" si="57"/>
        <v>MOD-HIGH</v>
      </c>
      <c r="K50" s="5" t="str">
        <f t="shared" si="57"/>
        <v>MOD-HIGH</v>
      </c>
      <c r="L50" s="5" t="str">
        <f t="shared" si="57"/>
        <v>MOD-HIGH</v>
      </c>
      <c r="M50" s="5" t="str">
        <f t="shared" si="57"/>
        <v>LOW</v>
      </c>
      <c r="N50" s="5" t="str">
        <f t="shared" si="57"/>
        <v>MOD-LOW</v>
      </c>
      <c r="O50" s="5" t="str">
        <f t="shared" si="57"/>
        <v>MOD-LOW</v>
      </c>
      <c r="P50" s="5" t="str">
        <f t="shared" si="57"/>
        <v>HIGH</v>
      </c>
      <c r="Q50" s="5" t="str">
        <f t="shared" si="57"/>
        <v>HIGH</v>
      </c>
      <c r="R50" s="5" t="str">
        <f t="shared" si="57"/>
        <v>MOD-LOW</v>
      </c>
      <c r="S50" s="5" t="str">
        <f t="shared" si="57"/>
        <v>LOW</v>
      </c>
      <c r="T50" s="5" t="str">
        <f t="shared" si="57"/>
        <v>MOD-LOW</v>
      </c>
      <c r="U50" s="5" t="str">
        <f t="shared" si="57"/>
        <v>MOD-HIGH</v>
      </c>
      <c r="V50" s="5" t="str">
        <f t="shared" si="57"/>
        <v>HIGH</v>
      </c>
      <c r="W50" s="5" t="str">
        <f t="shared" si="57"/>
        <v>HIGH</v>
      </c>
      <c r="X50" s="5" t="str">
        <f t="shared" si="57"/>
        <v>MOD-HIGH</v>
      </c>
      <c r="Y50" s="5" t="str">
        <f t="shared" si="57"/>
        <v>LOW</v>
      </c>
      <c r="Z50" s="5" t="str">
        <f t="shared" si="57"/>
        <v>HIGH</v>
      </c>
      <c r="AA50" s="5" t="str">
        <f t="shared" si="57"/>
        <v>MOD-LOW</v>
      </c>
      <c r="AB50" s="5" t="s">
        <v>28</v>
      </c>
    </row>
    <row r="51">
      <c r="B51" s="7" t="s">
        <v>11</v>
      </c>
      <c r="D51" s="5" t="str">
        <f t="shared" si="48"/>
        <v>MOD-HIGH</v>
      </c>
      <c r="F51" s="5" t="str">
        <f t="shared" ref="F51:AA51" si="58">INDEX($B$2:$Y$25,MATCH($B51,$B$1:$Y$1,0),MATCH(F$40,$A$2:$A$25,0))</f>
        <v>MOD-LOW</v>
      </c>
      <c r="G51" s="5" t="str">
        <f t="shared" si="58"/>
        <v>MOD-LOW</v>
      </c>
      <c r="H51" s="5" t="str">
        <f t="shared" si="58"/>
        <v/>
      </c>
      <c r="I51" s="5" t="str">
        <f t="shared" si="58"/>
        <v>LOW</v>
      </c>
      <c r="J51" s="5" t="str">
        <f t="shared" si="58"/>
        <v>MOD-LOW</v>
      </c>
      <c r="K51" s="5" t="str">
        <f t="shared" si="58"/>
        <v>MOD-LOW</v>
      </c>
      <c r="L51" s="5" t="str">
        <f t="shared" si="58"/>
        <v>MOD-HIGH</v>
      </c>
      <c r="M51" s="5" t="str">
        <f t="shared" si="58"/>
        <v>LOW</v>
      </c>
      <c r="N51" s="5" t="str">
        <f t="shared" si="58"/>
        <v>LOW</v>
      </c>
      <c r="O51" s="5" t="str">
        <f t="shared" si="58"/>
        <v>MOD-HIGH</v>
      </c>
      <c r="P51" s="5" t="str">
        <f t="shared" si="58"/>
        <v>MOD-LOW</v>
      </c>
      <c r="Q51" s="5" t="str">
        <f t="shared" si="58"/>
        <v>HIGH</v>
      </c>
      <c r="R51" s="5" t="str">
        <f t="shared" si="58"/>
        <v>HIGH</v>
      </c>
      <c r="S51" s="5" t="str">
        <f t="shared" si="58"/>
        <v>MOD-HIGH</v>
      </c>
      <c r="T51" s="5" t="str">
        <f t="shared" si="58"/>
        <v>HIGH</v>
      </c>
      <c r="U51" s="5" t="str">
        <f t="shared" si="58"/>
        <v>MOD-LOW</v>
      </c>
      <c r="V51" s="5" t="str">
        <f t="shared" si="58"/>
        <v>MOD-LOW</v>
      </c>
      <c r="W51" s="5" t="str">
        <f t="shared" si="58"/>
        <v>LOW</v>
      </c>
      <c r="X51" s="5" t="str">
        <f t="shared" si="58"/>
        <v>LOW</v>
      </c>
      <c r="Y51" s="5" t="str">
        <f t="shared" si="58"/>
        <v>MOD-HIGH</v>
      </c>
      <c r="Z51" s="5" t="str">
        <f t="shared" si="58"/>
        <v>HIGH</v>
      </c>
      <c r="AA51" s="5" t="str">
        <f t="shared" si="58"/>
        <v>MOD-HIGH</v>
      </c>
      <c r="AB51" s="5" t="s">
        <v>25</v>
      </c>
    </row>
    <row r="52">
      <c r="B52" s="7" t="s">
        <v>12</v>
      </c>
      <c r="D52" s="5" t="str">
        <f t="shared" si="48"/>
        <v>MOD-LOW</v>
      </c>
      <c r="F52" s="5" t="str">
        <f t="shared" ref="F52:AA52" si="59">INDEX($B$2:$Y$25,MATCH($B52,$B$1:$Y$1,0),MATCH(F$40,$A$2:$A$25,0))</f>
        <v>MOD-HIGH</v>
      </c>
      <c r="G52" s="5" t="str">
        <f t="shared" si="59"/>
        <v>MOD-LOW</v>
      </c>
      <c r="H52" s="5" t="str">
        <f t="shared" si="59"/>
        <v/>
      </c>
      <c r="I52" s="5" t="str">
        <f t="shared" si="59"/>
        <v>LOW</v>
      </c>
      <c r="J52" s="5" t="str">
        <f t="shared" si="59"/>
        <v>MOD-HIGH</v>
      </c>
      <c r="K52" s="5" t="str">
        <f t="shared" si="59"/>
        <v>MOD-HIGH</v>
      </c>
      <c r="L52" s="5" t="str">
        <f t="shared" si="59"/>
        <v>MOD-LOW</v>
      </c>
      <c r="M52" s="5" t="str">
        <f t="shared" si="59"/>
        <v>LOW</v>
      </c>
      <c r="N52" s="5" t="str">
        <f t="shared" si="59"/>
        <v>LOW</v>
      </c>
      <c r="O52" s="5" t="str">
        <f t="shared" si="59"/>
        <v>LOW</v>
      </c>
      <c r="P52" s="5" t="str">
        <f t="shared" si="59"/>
        <v>HIGH</v>
      </c>
      <c r="Q52" s="5" t="str">
        <f t="shared" si="59"/>
        <v>HIGH</v>
      </c>
      <c r="R52" s="5" t="str">
        <f t="shared" si="59"/>
        <v>MOD-LOW</v>
      </c>
      <c r="S52" s="5" t="str">
        <f t="shared" si="59"/>
        <v>MOD-LOW</v>
      </c>
      <c r="T52" s="5" t="str">
        <f t="shared" si="59"/>
        <v>MOD-HIGH</v>
      </c>
      <c r="U52" s="5" t="str">
        <f t="shared" si="59"/>
        <v>MOD-HIGH</v>
      </c>
      <c r="V52" s="5" t="str">
        <f t="shared" si="59"/>
        <v>HIGH</v>
      </c>
      <c r="W52" s="5" t="str">
        <f t="shared" si="59"/>
        <v>HIGH</v>
      </c>
      <c r="X52" s="5" t="str">
        <f t="shared" si="59"/>
        <v>MOD-HIGH</v>
      </c>
      <c r="Y52" s="5" t="str">
        <f t="shared" si="59"/>
        <v>LOW</v>
      </c>
      <c r="Z52" s="5" t="str">
        <f t="shared" si="59"/>
        <v>HIGH</v>
      </c>
      <c r="AA52" s="5" t="str">
        <f t="shared" si="59"/>
        <v>MOD-LOW</v>
      </c>
      <c r="AB52" s="5" t="s">
        <v>27</v>
      </c>
    </row>
    <row r="53">
      <c r="B53" s="7" t="s">
        <v>13</v>
      </c>
      <c r="D53" s="5" t="str">
        <f t="shared" si="48"/>
        <v>MOD-LOW</v>
      </c>
      <c r="F53" s="5" t="str">
        <f t="shared" ref="F53:AA53" si="60">INDEX($B$2:$Y$25,MATCH($B53,$B$1:$Y$1,0),MATCH(F$40,$A$2:$A$25,0))</f>
        <v>HIGH</v>
      </c>
      <c r="G53" s="5" t="str">
        <f t="shared" si="60"/>
        <v>MOD-LOW</v>
      </c>
      <c r="H53" s="5" t="str">
        <f t="shared" si="60"/>
        <v/>
      </c>
      <c r="I53" s="5" t="str">
        <f t="shared" si="60"/>
        <v>LOW</v>
      </c>
      <c r="J53" s="5" t="str">
        <f t="shared" si="60"/>
        <v>MOD-HIGH</v>
      </c>
      <c r="K53" s="5" t="str">
        <f t="shared" si="60"/>
        <v>MOD-HIGH</v>
      </c>
      <c r="L53" s="5" t="str">
        <f t="shared" si="60"/>
        <v>MOD-LOW</v>
      </c>
      <c r="M53" s="5" t="str">
        <f t="shared" si="60"/>
        <v>LOW</v>
      </c>
      <c r="N53" s="5" t="str">
        <f t="shared" si="60"/>
        <v>MOD-HIGH</v>
      </c>
      <c r="O53" s="5" t="str">
        <f t="shared" si="60"/>
        <v>MOD-LOW</v>
      </c>
      <c r="P53" s="5" t="str">
        <f t="shared" si="60"/>
        <v>MOD-HIGH</v>
      </c>
      <c r="Q53" s="5" t="str">
        <f t="shared" si="60"/>
        <v>HIGH</v>
      </c>
      <c r="R53" s="5" t="str">
        <f t="shared" si="60"/>
        <v>HIGH</v>
      </c>
      <c r="S53" s="5" t="str">
        <f t="shared" si="60"/>
        <v>MOD-LOW</v>
      </c>
      <c r="T53" s="5" t="str">
        <f t="shared" si="60"/>
        <v>MOD-HIGH</v>
      </c>
      <c r="U53" s="5" t="str">
        <f t="shared" si="60"/>
        <v>MOD-HIGH</v>
      </c>
      <c r="V53" s="5" t="str">
        <f t="shared" si="60"/>
        <v>HIGH</v>
      </c>
      <c r="W53" s="5" t="str">
        <f t="shared" si="60"/>
        <v>HIGH</v>
      </c>
      <c r="X53" s="5" t="str">
        <f t="shared" si="60"/>
        <v>MOD-LOW</v>
      </c>
      <c r="Y53" s="5" t="str">
        <f t="shared" si="60"/>
        <v>LOW</v>
      </c>
      <c r="Z53" s="5" t="str">
        <f t="shared" si="60"/>
        <v>HIGH</v>
      </c>
      <c r="AA53" s="5" t="str">
        <f t="shared" si="60"/>
        <v>LOW</v>
      </c>
      <c r="AB53" s="5" t="s">
        <v>28</v>
      </c>
    </row>
    <row r="54">
      <c r="B54" s="7" t="s">
        <v>14</v>
      </c>
      <c r="D54" s="5" t="str">
        <f t="shared" si="48"/>
        <v>MOD-LOW</v>
      </c>
      <c r="F54" s="5" t="str">
        <f t="shared" ref="F54:AA54" si="61">INDEX($B$2:$Y$25,MATCH($B54,$B$1:$Y$1,0),MATCH(F$40,$A$2:$A$25,0))</f>
        <v>MOD-HIGH</v>
      </c>
      <c r="G54" s="5" t="str">
        <f t="shared" si="61"/>
        <v>MOD-LOW</v>
      </c>
      <c r="H54" s="5" t="str">
        <f t="shared" si="61"/>
        <v/>
      </c>
      <c r="I54" s="5" t="str">
        <f t="shared" si="61"/>
        <v>MOD-LOW</v>
      </c>
      <c r="J54" s="5" t="str">
        <f t="shared" si="61"/>
        <v>MOD-HIGH</v>
      </c>
      <c r="K54" s="5" t="str">
        <f t="shared" si="61"/>
        <v>MOD-HIGH</v>
      </c>
      <c r="L54" s="5" t="str">
        <f t="shared" si="61"/>
        <v>MOD-HIGH</v>
      </c>
      <c r="M54" s="5" t="str">
        <f t="shared" si="61"/>
        <v>MOD-HIGH</v>
      </c>
      <c r="N54" s="5" t="str">
        <f t="shared" si="61"/>
        <v>LOW</v>
      </c>
      <c r="O54" s="5" t="str">
        <f t="shared" si="61"/>
        <v>MOD-LOW</v>
      </c>
      <c r="P54" s="5" t="str">
        <f t="shared" si="61"/>
        <v>MOD-LOW</v>
      </c>
      <c r="Q54" s="5" t="str">
        <f t="shared" si="61"/>
        <v>HIGH</v>
      </c>
      <c r="R54" s="5" t="str">
        <f t="shared" si="61"/>
        <v>MOD-HIGH</v>
      </c>
      <c r="S54" s="5" t="str">
        <f t="shared" si="61"/>
        <v>MOD-HIGH</v>
      </c>
      <c r="T54" s="5" t="str">
        <f t="shared" si="61"/>
        <v>HIGH</v>
      </c>
      <c r="U54" s="5" t="str">
        <f t="shared" si="61"/>
        <v>LOW</v>
      </c>
      <c r="V54" s="5" t="str">
        <f t="shared" si="61"/>
        <v>MOD-LOW</v>
      </c>
      <c r="W54" s="5" t="str">
        <f t="shared" si="61"/>
        <v>LOW</v>
      </c>
      <c r="X54" s="5" t="str">
        <f t="shared" si="61"/>
        <v>LOW</v>
      </c>
      <c r="Y54" s="5" t="str">
        <f t="shared" si="61"/>
        <v>HIGH</v>
      </c>
      <c r="Z54" s="5" t="str">
        <f t="shared" si="61"/>
        <v>HIGH</v>
      </c>
      <c r="AA54" s="5" t="str">
        <f t="shared" si="61"/>
        <v>HIGH</v>
      </c>
      <c r="AB54" s="5" t="s">
        <v>27</v>
      </c>
    </row>
    <row r="55">
      <c r="B55" s="7" t="s">
        <v>15</v>
      </c>
      <c r="C55" s="4">
        <v>1.0</v>
      </c>
      <c r="D55" s="5" t="str">
        <f t="shared" si="48"/>
        <v>LOW</v>
      </c>
      <c r="F55" s="5" t="str">
        <f t="shared" ref="F55:AA55" si="62">INDEX($B$2:$Y$25,MATCH($B55,$B$1:$Y$1,0),MATCH(F$40,$A$2:$A$25,0))</f>
        <v>HIGH</v>
      </c>
      <c r="G55" s="5" t="str">
        <f t="shared" si="62"/>
        <v>LOW</v>
      </c>
      <c r="H55" s="5" t="str">
        <f t="shared" si="62"/>
        <v/>
      </c>
      <c r="I55" s="5" t="str">
        <f t="shared" si="62"/>
        <v>LOW</v>
      </c>
      <c r="J55" s="5" t="str">
        <f t="shared" si="62"/>
        <v>HIGH</v>
      </c>
      <c r="K55" s="5" t="str">
        <f t="shared" si="62"/>
        <v>MOD-LOW</v>
      </c>
      <c r="L55" s="5" t="str">
        <f t="shared" si="62"/>
        <v>MOD-LOW</v>
      </c>
      <c r="M55" s="5" t="str">
        <f t="shared" si="62"/>
        <v>LOW</v>
      </c>
      <c r="N55" s="5" t="str">
        <f t="shared" si="62"/>
        <v>LOW</v>
      </c>
      <c r="O55" s="5" t="str">
        <f t="shared" si="62"/>
        <v>MOD-LOW</v>
      </c>
      <c r="P55" s="5" t="str">
        <f t="shared" si="62"/>
        <v>MOD-HIGH</v>
      </c>
      <c r="Q55" s="5" t="str">
        <f t="shared" si="62"/>
        <v>MOD-HIGH</v>
      </c>
      <c r="R55" s="5" t="str">
        <f t="shared" si="62"/>
        <v>MOD-LOW</v>
      </c>
      <c r="S55" s="5" t="str">
        <f t="shared" si="62"/>
        <v>LOW</v>
      </c>
      <c r="T55" s="5" t="str">
        <f t="shared" si="62"/>
        <v>MOD-LOW</v>
      </c>
      <c r="U55" s="5" t="str">
        <f t="shared" si="62"/>
        <v>MOD-HIGH</v>
      </c>
      <c r="V55" s="5" t="str">
        <f t="shared" si="62"/>
        <v>MOD-HIGH</v>
      </c>
      <c r="W55" s="5" t="str">
        <f t="shared" si="62"/>
        <v>MOD-LOW</v>
      </c>
      <c r="X55" s="5" t="str">
        <f t="shared" si="62"/>
        <v>MOD-HIGH</v>
      </c>
      <c r="Y55" s="5" t="str">
        <f t="shared" si="62"/>
        <v>MOD-LOW</v>
      </c>
      <c r="Z55" s="5" t="str">
        <f t="shared" si="62"/>
        <v>MOD-HIGH</v>
      </c>
      <c r="AA55" s="5" t="str">
        <f t="shared" si="62"/>
        <v>HIGH</v>
      </c>
      <c r="AB55" s="5" t="s">
        <v>27</v>
      </c>
    </row>
    <row r="56">
      <c r="B56" s="3" t="s">
        <v>16</v>
      </c>
      <c r="C56" s="4">
        <v>1.0</v>
      </c>
      <c r="D56" s="5" t="str">
        <f t="shared" si="48"/>
        <v>MOD-LOW</v>
      </c>
      <c r="F56" s="5" t="str">
        <f t="shared" ref="F56:AA56" si="63">INDEX($B$2:$Y$25,MATCH($B56,$B$1:$Y$1,0),MATCH(F$40,$A$2:$A$25,0))</f>
        <v>MOD-LOW</v>
      </c>
      <c r="G56" s="5" t="str">
        <f t="shared" si="63"/>
        <v>MOD-HIGH</v>
      </c>
      <c r="H56" s="5" t="str">
        <f t="shared" si="63"/>
        <v/>
      </c>
      <c r="I56" s="5" t="str">
        <f t="shared" si="63"/>
        <v>MOD-HIGH</v>
      </c>
      <c r="J56" s="5" t="str">
        <f t="shared" si="63"/>
        <v>MOD-LOW</v>
      </c>
      <c r="K56" s="5" t="str">
        <f t="shared" si="63"/>
        <v>MOD-LOW</v>
      </c>
      <c r="L56" s="5" t="str">
        <f t="shared" si="63"/>
        <v>LOW</v>
      </c>
      <c r="M56" s="5" t="str">
        <f t="shared" si="63"/>
        <v>HIGH</v>
      </c>
      <c r="N56" s="5" t="str">
        <f t="shared" si="63"/>
        <v>MOD-LOW</v>
      </c>
      <c r="O56" s="5" t="str">
        <f t="shared" si="63"/>
        <v>MOD-LOW</v>
      </c>
      <c r="P56" s="5" t="str">
        <f t="shared" si="63"/>
        <v>LOW</v>
      </c>
      <c r="Q56" s="5" t="str">
        <f t="shared" si="63"/>
        <v>LOW</v>
      </c>
      <c r="R56" s="5" t="str">
        <f t="shared" si="63"/>
        <v>MOD-HIGH</v>
      </c>
      <c r="S56" s="5" t="str">
        <f t="shared" si="63"/>
        <v>HIGH</v>
      </c>
      <c r="T56" s="5" t="str">
        <f t="shared" si="63"/>
        <v>HIGH</v>
      </c>
      <c r="U56" s="5" t="str">
        <f t="shared" si="63"/>
        <v>LOW</v>
      </c>
      <c r="V56" s="5" t="str">
        <f t="shared" si="63"/>
        <v>MOD-HIGH</v>
      </c>
      <c r="W56" s="5" t="str">
        <f t="shared" si="63"/>
        <v>LOW</v>
      </c>
      <c r="X56" s="5" t="str">
        <f t="shared" si="63"/>
        <v>MOD-HIGH</v>
      </c>
      <c r="Y56" s="5" t="str">
        <f t="shared" si="63"/>
        <v>HIGH</v>
      </c>
      <c r="Z56" s="5" t="str">
        <f t="shared" si="63"/>
        <v>MOD-HIGH</v>
      </c>
      <c r="AA56" s="5" t="str">
        <f t="shared" si="63"/>
        <v>HIGH</v>
      </c>
      <c r="AB56" s="5" t="s">
        <v>28</v>
      </c>
    </row>
    <row r="57">
      <c r="B57" s="3" t="s">
        <v>17</v>
      </c>
      <c r="D57" s="5" t="str">
        <f t="shared" si="48"/>
        <v>LOW</v>
      </c>
      <c r="F57" s="5" t="str">
        <f t="shared" ref="F57:AA57" si="64">INDEX($B$2:$Y$25,MATCH($B57,$B$1:$Y$1,0),MATCH(F$40,$A$2:$A$25,0))</f>
        <v>MOD-LOW</v>
      </c>
      <c r="G57" s="5" t="str">
        <f t="shared" si="64"/>
        <v>MOD-HIGH</v>
      </c>
      <c r="H57" s="5" t="str">
        <f t="shared" si="64"/>
        <v/>
      </c>
      <c r="I57" s="5" t="str">
        <f t="shared" si="64"/>
        <v>MOD-HIGH</v>
      </c>
      <c r="J57" s="5" t="str">
        <f t="shared" si="64"/>
        <v>MOD-LOW</v>
      </c>
      <c r="K57" s="5" t="str">
        <f t="shared" si="64"/>
        <v>MOD-LOW</v>
      </c>
      <c r="L57" s="5" t="str">
        <f t="shared" si="64"/>
        <v>LOW</v>
      </c>
      <c r="M57" s="5" t="str">
        <f t="shared" si="64"/>
        <v>MOD-HIGH</v>
      </c>
      <c r="N57" s="5" t="str">
        <f t="shared" si="64"/>
        <v>LOW</v>
      </c>
      <c r="O57" s="5" t="str">
        <f t="shared" si="64"/>
        <v>MOD-LOW</v>
      </c>
      <c r="P57" s="5" t="str">
        <f t="shared" si="64"/>
        <v>MOD-HIGH</v>
      </c>
      <c r="Q57" s="5" t="str">
        <f t="shared" si="64"/>
        <v>MOD-LOW</v>
      </c>
      <c r="R57" s="5" t="str">
        <f t="shared" si="64"/>
        <v>MOD-HIGH</v>
      </c>
      <c r="S57" s="5" t="str">
        <f t="shared" si="64"/>
        <v>HIGH</v>
      </c>
      <c r="T57" s="5" t="str">
        <f t="shared" si="64"/>
        <v>HIGH</v>
      </c>
      <c r="U57" s="5" t="str">
        <f t="shared" si="64"/>
        <v>LOW</v>
      </c>
      <c r="V57" s="5" t="str">
        <f t="shared" si="64"/>
        <v>HIGH</v>
      </c>
      <c r="W57" s="5" t="str">
        <f t="shared" si="64"/>
        <v>LOW</v>
      </c>
      <c r="X57" s="5" t="str">
        <f t="shared" si="64"/>
        <v>HIGH</v>
      </c>
      <c r="Y57" s="5" t="str">
        <f t="shared" si="64"/>
        <v>MOD-HIGH</v>
      </c>
      <c r="Z57" s="5" t="str">
        <f t="shared" si="64"/>
        <v>MOD-HIGH</v>
      </c>
      <c r="AA57" s="5" t="str">
        <f t="shared" si="64"/>
        <v>HIGH</v>
      </c>
      <c r="AB57" s="5" t="s">
        <v>27</v>
      </c>
    </row>
    <row r="58">
      <c r="B58" s="3" t="s">
        <v>18</v>
      </c>
      <c r="C58" s="4">
        <v>1.0</v>
      </c>
      <c r="D58" s="5" t="str">
        <f t="shared" si="48"/>
        <v>MOD-LOW</v>
      </c>
      <c r="F58" s="5" t="str">
        <f t="shared" ref="F58:AA58" si="65">INDEX($B$2:$Y$25,MATCH($B58,$B$1:$Y$1,0),MATCH(F$40,$A$2:$A$25,0))</f>
        <v>LOW</v>
      </c>
      <c r="G58" s="5" t="str">
        <f t="shared" si="65"/>
        <v>HIGH</v>
      </c>
      <c r="H58" s="5" t="str">
        <f t="shared" si="65"/>
        <v/>
      </c>
      <c r="I58" s="5" t="str">
        <f t="shared" si="65"/>
        <v>HIGH</v>
      </c>
      <c r="J58" s="5" t="str">
        <f t="shared" si="65"/>
        <v>MOD-LOW</v>
      </c>
      <c r="K58" s="5" t="str">
        <f t="shared" si="65"/>
        <v>MOD-LOW</v>
      </c>
      <c r="L58" s="5" t="str">
        <f t="shared" si="65"/>
        <v>MOD-HIGH</v>
      </c>
      <c r="M58" s="5" t="str">
        <f t="shared" si="65"/>
        <v>HIGH</v>
      </c>
      <c r="N58" s="5" t="str">
        <f t="shared" si="65"/>
        <v>LOW</v>
      </c>
      <c r="O58" s="5" t="str">
        <f t="shared" si="65"/>
        <v>HIGH</v>
      </c>
      <c r="P58" s="5" t="str">
        <f t="shared" si="65"/>
        <v>LOW</v>
      </c>
      <c r="Q58" s="5" t="str">
        <f t="shared" si="65"/>
        <v>LOW</v>
      </c>
      <c r="R58" s="5" t="str">
        <f t="shared" si="65"/>
        <v>HIGH</v>
      </c>
      <c r="S58" s="5" t="str">
        <f t="shared" si="65"/>
        <v>HIGH</v>
      </c>
      <c r="T58" s="5" t="str">
        <f t="shared" si="65"/>
        <v>MOD-HIGH</v>
      </c>
      <c r="U58" s="5" t="str">
        <f t="shared" si="65"/>
        <v>LOW</v>
      </c>
      <c r="V58" s="5" t="str">
        <f t="shared" si="65"/>
        <v>MOD-HIGH</v>
      </c>
      <c r="W58" s="5" t="str">
        <f t="shared" si="65"/>
        <v>LOW</v>
      </c>
      <c r="X58" s="5" t="str">
        <f t="shared" si="65"/>
        <v>MOD-HIGH</v>
      </c>
      <c r="Y58" s="5" t="str">
        <f t="shared" si="65"/>
        <v>HIGH</v>
      </c>
      <c r="Z58" s="5" t="str">
        <f t="shared" si="65"/>
        <v>MOD-HIGH</v>
      </c>
      <c r="AA58" s="5" t="str">
        <f t="shared" si="65"/>
        <v>MOD-HIGH</v>
      </c>
      <c r="AB58" s="5" t="s">
        <v>26</v>
      </c>
    </row>
    <row r="59">
      <c r="B59" s="3" t="s">
        <v>19</v>
      </c>
      <c r="C59" s="4">
        <v>1.0</v>
      </c>
      <c r="D59" s="5" t="str">
        <f t="shared" si="48"/>
        <v>MOD-LOW</v>
      </c>
      <c r="F59" s="5" t="str">
        <f t="shared" ref="F59:AA59" si="66">INDEX($B$2:$Y$25,MATCH($B59,$B$1:$Y$1,0),MATCH(F$40,$A$2:$A$25,0))</f>
        <v>LOW</v>
      </c>
      <c r="G59" s="5" t="str">
        <f t="shared" si="66"/>
        <v>HIGH</v>
      </c>
      <c r="H59" s="5" t="str">
        <f t="shared" si="66"/>
        <v/>
      </c>
      <c r="I59" s="5" t="str">
        <f t="shared" si="66"/>
        <v>MOD-HIGH</v>
      </c>
      <c r="J59" s="5" t="str">
        <f t="shared" si="66"/>
        <v>MOD-LOW</v>
      </c>
      <c r="K59" s="5" t="str">
        <f t="shared" si="66"/>
        <v>MOD-LOW</v>
      </c>
      <c r="L59" s="5" t="str">
        <f t="shared" si="66"/>
        <v>MOD-HIGH</v>
      </c>
      <c r="M59" s="5" t="str">
        <f t="shared" si="66"/>
        <v>HIGH</v>
      </c>
      <c r="N59" s="5" t="str">
        <f t="shared" si="66"/>
        <v>LOW</v>
      </c>
      <c r="O59" s="5" t="str">
        <f t="shared" si="66"/>
        <v>HIGH</v>
      </c>
      <c r="P59" s="5" t="str">
        <f t="shared" si="66"/>
        <v>LOW</v>
      </c>
      <c r="Q59" s="5" t="str">
        <f t="shared" si="66"/>
        <v>MOD-LOW</v>
      </c>
      <c r="R59" s="5" t="str">
        <f t="shared" si="66"/>
        <v>HIGH</v>
      </c>
      <c r="S59" s="5" t="str">
        <f t="shared" si="66"/>
        <v>HIGH</v>
      </c>
      <c r="T59" s="5" t="str">
        <f t="shared" si="66"/>
        <v>MOD-HIGH</v>
      </c>
      <c r="U59" s="5" t="str">
        <f t="shared" si="66"/>
        <v>MOD-LOW</v>
      </c>
      <c r="V59" s="5" t="str">
        <f t="shared" si="66"/>
        <v>LOW</v>
      </c>
      <c r="W59" s="5" t="str">
        <f t="shared" si="66"/>
        <v>LOW</v>
      </c>
      <c r="X59" s="5" t="str">
        <f t="shared" si="66"/>
        <v>LOW</v>
      </c>
      <c r="Y59" s="5" t="str">
        <f t="shared" si="66"/>
        <v>HIGH</v>
      </c>
      <c r="Z59" s="5" t="str">
        <f t="shared" si="66"/>
        <v>HIGH</v>
      </c>
      <c r="AA59" s="5" t="str">
        <f t="shared" si="66"/>
        <v>MOD-HIGH</v>
      </c>
      <c r="AB59" s="5" t="s">
        <v>27</v>
      </c>
    </row>
    <row r="60">
      <c r="B60" s="3" t="s">
        <v>20</v>
      </c>
      <c r="D60" s="5" t="str">
        <f t="shared" si="48"/>
        <v>MOD-LOW</v>
      </c>
      <c r="F60" s="5" t="str">
        <f t="shared" ref="F60:AA60" si="67">INDEX($B$2:$Y$25,MATCH($B60,$B$1:$Y$1,0),MATCH(F$40,$A$2:$A$25,0))</f>
        <v>MOD-LOW</v>
      </c>
      <c r="G60" s="5" t="str">
        <f t="shared" si="67"/>
        <v>HIGH</v>
      </c>
      <c r="H60" s="5" t="str">
        <f t="shared" si="67"/>
        <v/>
      </c>
      <c r="I60" s="5" t="str">
        <f t="shared" si="67"/>
        <v>HIGH</v>
      </c>
      <c r="J60" s="5" t="str">
        <f t="shared" si="67"/>
        <v>MOD-LOW</v>
      </c>
      <c r="K60" s="5" t="str">
        <f t="shared" si="67"/>
        <v>MOD-LOW</v>
      </c>
      <c r="L60" s="5" t="str">
        <f t="shared" si="67"/>
        <v>LOW</v>
      </c>
      <c r="M60" s="5" t="str">
        <f t="shared" si="67"/>
        <v>LOW</v>
      </c>
      <c r="N60" s="5" t="str">
        <f t="shared" si="67"/>
        <v>LOW</v>
      </c>
      <c r="O60" s="5" t="str">
        <f t="shared" si="67"/>
        <v>LOW</v>
      </c>
      <c r="P60" s="5" t="str">
        <f t="shared" si="67"/>
        <v>LOW</v>
      </c>
      <c r="Q60" s="5" t="str">
        <f t="shared" si="67"/>
        <v>LOW</v>
      </c>
      <c r="R60" s="5" t="str">
        <f t="shared" si="67"/>
        <v>HIGH</v>
      </c>
      <c r="S60" s="5" t="str">
        <f t="shared" si="67"/>
        <v>HIGH</v>
      </c>
      <c r="T60" s="5" t="str">
        <f t="shared" si="67"/>
        <v>MOD-HIGH</v>
      </c>
      <c r="U60" s="5" t="str">
        <f t="shared" si="67"/>
        <v>LOW</v>
      </c>
      <c r="V60" s="5" t="str">
        <f t="shared" si="67"/>
        <v>MOD-HIGH</v>
      </c>
      <c r="W60" s="5" t="str">
        <f t="shared" si="67"/>
        <v>MOD-HIGH</v>
      </c>
      <c r="X60" s="5" t="str">
        <f t="shared" si="67"/>
        <v>MOD-HIGH</v>
      </c>
      <c r="Y60" s="5" t="str">
        <f t="shared" si="67"/>
        <v>MOD-HIGH</v>
      </c>
      <c r="Z60" s="5" t="str">
        <f t="shared" si="67"/>
        <v>MOD-HIGH</v>
      </c>
      <c r="AA60" s="5" t="str">
        <f t="shared" si="67"/>
        <v>MOD-LOW</v>
      </c>
      <c r="AB60" s="5" t="s">
        <v>25</v>
      </c>
    </row>
    <row r="61">
      <c r="B61" s="3" t="s">
        <v>21</v>
      </c>
      <c r="C61" s="4">
        <v>1.0</v>
      </c>
      <c r="D61" s="5" t="str">
        <f t="shared" si="48"/>
        <v>LOW</v>
      </c>
      <c r="F61" s="5" t="str">
        <f t="shared" ref="F61:AA61" si="68">INDEX($B$2:$Y$25,MATCH($B61,$B$1:$Y$1,0),MATCH(F$40,$A$2:$A$25,0))</f>
        <v>MOD-HIGH</v>
      </c>
      <c r="G61" s="5" t="str">
        <f t="shared" si="68"/>
        <v>LOW</v>
      </c>
      <c r="H61" s="5" t="str">
        <f t="shared" si="68"/>
        <v/>
      </c>
      <c r="I61" s="5" t="str">
        <f t="shared" si="68"/>
        <v>LOW</v>
      </c>
      <c r="J61" s="5" t="str">
        <f t="shared" si="68"/>
        <v>MOD-LOW</v>
      </c>
      <c r="K61" s="5" t="str">
        <f t="shared" si="68"/>
        <v>MOD-LOW</v>
      </c>
      <c r="L61" s="5" t="str">
        <f t="shared" si="68"/>
        <v>LOW</v>
      </c>
      <c r="M61" s="5" t="str">
        <f t="shared" si="68"/>
        <v>LOW</v>
      </c>
      <c r="N61" s="5" t="str">
        <f t="shared" si="68"/>
        <v>LOW</v>
      </c>
      <c r="O61" s="5" t="str">
        <f t="shared" si="68"/>
        <v>LOW</v>
      </c>
      <c r="P61" s="5" t="str">
        <f t="shared" si="68"/>
        <v>HIGH</v>
      </c>
      <c r="Q61" s="5" t="str">
        <f t="shared" si="68"/>
        <v>HIGH</v>
      </c>
      <c r="R61" s="5" t="str">
        <f t="shared" si="68"/>
        <v>MOD-LOW</v>
      </c>
      <c r="S61" s="5" t="str">
        <f t="shared" si="68"/>
        <v>MOD-HIGH</v>
      </c>
      <c r="T61" s="5" t="str">
        <f t="shared" si="68"/>
        <v>MOD-LOW</v>
      </c>
      <c r="U61" s="5" t="str">
        <f t="shared" si="68"/>
        <v>MOD-LOW</v>
      </c>
      <c r="V61" s="5" t="str">
        <f t="shared" si="68"/>
        <v>MOD-HIGH</v>
      </c>
      <c r="W61" s="5" t="str">
        <f t="shared" si="68"/>
        <v>MOD-LOW</v>
      </c>
      <c r="X61" s="5" t="str">
        <f t="shared" si="68"/>
        <v>MOD-HIGH</v>
      </c>
      <c r="Y61" s="5" t="str">
        <f t="shared" si="68"/>
        <v>HIGH</v>
      </c>
      <c r="Z61" s="5" t="str">
        <f t="shared" si="68"/>
        <v>HIGH</v>
      </c>
      <c r="AA61" s="5" t="str">
        <f t="shared" si="68"/>
        <v>HIGH</v>
      </c>
      <c r="AB61" s="5" t="s">
        <v>25</v>
      </c>
    </row>
    <row r="62">
      <c r="B62" s="3" t="s">
        <v>22</v>
      </c>
      <c r="D62" s="5" t="str">
        <f t="shared" si="48"/>
        <v>LOW</v>
      </c>
      <c r="F62" s="5" t="str">
        <f t="shared" ref="F62:AA62" si="69">INDEX($B$2:$Y$25,MATCH($B62,$B$1:$Y$1,0),MATCH(F$40,$A$2:$A$25,0))</f>
        <v>MOD-LOW</v>
      </c>
      <c r="G62" s="5" t="str">
        <f t="shared" si="69"/>
        <v>MOD-HIGH</v>
      </c>
      <c r="H62" s="5" t="str">
        <f t="shared" si="69"/>
        <v/>
      </c>
      <c r="I62" s="5" t="str">
        <f t="shared" si="69"/>
        <v>MOD-HIGH</v>
      </c>
      <c r="J62" s="5" t="str">
        <f t="shared" si="69"/>
        <v>LOW</v>
      </c>
      <c r="K62" s="5" t="str">
        <f t="shared" si="69"/>
        <v>MOD-LOW</v>
      </c>
      <c r="L62" s="5" t="str">
        <f t="shared" si="69"/>
        <v>LOW</v>
      </c>
      <c r="M62" s="5" t="str">
        <f t="shared" si="69"/>
        <v>MOD-LOW</v>
      </c>
      <c r="N62" s="5" t="str">
        <f t="shared" si="69"/>
        <v>LOW</v>
      </c>
      <c r="O62" s="5" t="str">
        <f t="shared" si="69"/>
        <v>LOW</v>
      </c>
      <c r="P62" s="5" t="str">
        <f t="shared" si="69"/>
        <v>MOD-HIGH</v>
      </c>
      <c r="Q62" s="5" t="str">
        <f t="shared" si="69"/>
        <v>HIGH</v>
      </c>
      <c r="R62" s="5" t="str">
        <f t="shared" si="69"/>
        <v>MOD-LOW</v>
      </c>
      <c r="S62" s="5" t="str">
        <f t="shared" si="69"/>
        <v>HIGH</v>
      </c>
      <c r="T62" s="5" t="str">
        <f t="shared" si="69"/>
        <v>MOD-HIGH</v>
      </c>
      <c r="U62" s="5" t="str">
        <f t="shared" si="69"/>
        <v>MOD-LOW</v>
      </c>
      <c r="V62" s="5" t="str">
        <f t="shared" si="69"/>
        <v>MOD-HIGH</v>
      </c>
      <c r="W62" s="5" t="str">
        <f t="shared" si="69"/>
        <v>LOW</v>
      </c>
      <c r="X62" s="5" t="str">
        <f t="shared" si="69"/>
        <v>MOD-HIGH</v>
      </c>
      <c r="Y62" s="5" t="str">
        <f t="shared" si="69"/>
        <v>HIGH</v>
      </c>
      <c r="Z62" s="5" t="str">
        <f t="shared" si="69"/>
        <v>MOD-HIGH</v>
      </c>
      <c r="AA62" s="5" t="str">
        <f t="shared" si="69"/>
        <v>HIGH</v>
      </c>
      <c r="AB62" s="5" t="s">
        <v>25</v>
      </c>
    </row>
    <row r="63">
      <c r="B63" s="3" t="s">
        <v>23</v>
      </c>
      <c r="D63" s="5" t="str">
        <f t="shared" si="48"/>
        <v>LOW</v>
      </c>
      <c r="F63" s="5" t="str">
        <f t="shared" ref="F63:AA63" si="70">INDEX($B$2:$Y$25,MATCH($B63,$B$1:$Y$1,0),MATCH(F$40,$A$2:$A$25,0))</f>
        <v>MOD-LOW</v>
      </c>
      <c r="G63" s="5" t="str">
        <f t="shared" si="70"/>
        <v>LOW</v>
      </c>
      <c r="H63" s="5" t="str">
        <f t="shared" si="70"/>
        <v/>
      </c>
      <c r="I63" s="5" t="str">
        <f t="shared" si="70"/>
        <v>LOW</v>
      </c>
      <c r="J63" s="5" t="str">
        <f t="shared" si="70"/>
        <v>MOD-LOW</v>
      </c>
      <c r="K63" s="5" t="str">
        <f t="shared" si="70"/>
        <v>MOD-LOW</v>
      </c>
      <c r="L63" s="5" t="str">
        <f t="shared" si="70"/>
        <v>LOW</v>
      </c>
      <c r="M63" s="5" t="str">
        <f t="shared" si="70"/>
        <v>LOW</v>
      </c>
      <c r="N63" s="5" t="str">
        <f t="shared" si="70"/>
        <v>LOW</v>
      </c>
      <c r="O63" s="5" t="str">
        <f t="shared" si="70"/>
        <v>MOD-LOW</v>
      </c>
      <c r="P63" s="5" t="str">
        <f t="shared" si="70"/>
        <v>HIGH</v>
      </c>
      <c r="Q63" s="5" t="str">
        <f t="shared" si="70"/>
        <v>MOD-HIGH</v>
      </c>
      <c r="R63" s="5" t="str">
        <f t="shared" si="70"/>
        <v>MOD-LOW</v>
      </c>
      <c r="S63" s="5" t="str">
        <f t="shared" si="70"/>
        <v>MOD-HIGH</v>
      </c>
      <c r="T63" s="5" t="str">
        <f t="shared" si="70"/>
        <v>MOD-HIGH</v>
      </c>
      <c r="U63" s="5" t="str">
        <f t="shared" si="70"/>
        <v>MOD-LOW</v>
      </c>
      <c r="V63" s="5" t="str">
        <f t="shared" si="70"/>
        <v>MOD-HIGH</v>
      </c>
      <c r="W63" s="5" t="str">
        <f t="shared" si="70"/>
        <v>LOW</v>
      </c>
      <c r="X63" s="5" t="str">
        <f t="shared" si="70"/>
        <v>MOD-HIGH</v>
      </c>
      <c r="Y63" s="5" t="str">
        <f t="shared" si="70"/>
        <v>HIGH</v>
      </c>
      <c r="Z63" s="5" t="str">
        <f t="shared" si="70"/>
        <v>HIGH</v>
      </c>
      <c r="AA63" s="5" t="str">
        <f t="shared" si="70"/>
        <v>HIGH</v>
      </c>
      <c r="AB63" s="5" t="s">
        <v>27</v>
      </c>
    </row>
    <row r="66">
      <c r="D66" s="4" t="s">
        <v>24</v>
      </c>
      <c r="E66" s="4"/>
      <c r="F66" s="4" t="s">
        <v>29</v>
      </c>
      <c r="G66" s="4" t="s">
        <v>30</v>
      </c>
      <c r="H66" s="4" t="s">
        <v>31</v>
      </c>
      <c r="I66" s="4" t="s">
        <v>32</v>
      </c>
      <c r="J66" s="4" t="s">
        <v>33</v>
      </c>
      <c r="K66" s="4" t="s">
        <v>34</v>
      </c>
      <c r="L66" s="4" t="s">
        <v>35</v>
      </c>
      <c r="M66" s="4" t="s">
        <v>36</v>
      </c>
      <c r="N66" s="4" t="s">
        <v>37</v>
      </c>
      <c r="O66" s="4" t="s">
        <v>38</v>
      </c>
      <c r="P66" s="4" t="s">
        <v>39</v>
      </c>
      <c r="Q66" s="4" t="s">
        <v>40</v>
      </c>
      <c r="R66" s="4" t="s">
        <v>41</v>
      </c>
      <c r="S66" s="4" t="s">
        <v>42</v>
      </c>
      <c r="T66" s="4" t="s">
        <v>43</v>
      </c>
      <c r="U66" s="4" t="s">
        <v>44</v>
      </c>
      <c r="V66" s="4" t="s">
        <v>45</v>
      </c>
      <c r="W66" s="4" t="s">
        <v>46</v>
      </c>
      <c r="X66" s="4" t="s">
        <v>47</v>
      </c>
      <c r="Y66" s="4" t="s">
        <v>48</v>
      </c>
      <c r="Z66" s="4" t="s">
        <v>49</v>
      </c>
      <c r="AA66" s="4" t="s">
        <v>50</v>
      </c>
      <c r="AB66" s="4" t="s">
        <v>51</v>
      </c>
    </row>
    <row r="67">
      <c r="C67" s="5" t="s">
        <v>27</v>
      </c>
      <c r="D67" s="5">
        <f t="shared" ref="D67:D70" si="72">COUNTIF(D$95:D$104,$C67)</f>
        <v>2</v>
      </c>
      <c r="F67" s="5">
        <f t="shared" ref="F67:AB67" si="71">COUNTIF(F$95:F$104,$C67)</f>
        <v>2</v>
      </c>
      <c r="G67" s="5">
        <f t="shared" si="71"/>
        <v>2</v>
      </c>
      <c r="H67" s="5">
        <f t="shared" si="71"/>
        <v>1</v>
      </c>
      <c r="I67" s="5">
        <f t="shared" si="71"/>
        <v>2</v>
      </c>
      <c r="J67" s="5">
        <f t="shared" si="71"/>
        <v>4</v>
      </c>
      <c r="K67" s="5">
        <f t="shared" si="71"/>
        <v>4</v>
      </c>
      <c r="L67" s="5">
        <f t="shared" si="71"/>
        <v>3</v>
      </c>
      <c r="M67" s="5">
        <f t="shared" si="71"/>
        <v>3</v>
      </c>
      <c r="N67" s="5">
        <f t="shared" si="71"/>
        <v>1</v>
      </c>
      <c r="O67" s="5">
        <f t="shared" si="71"/>
        <v>3</v>
      </c>
      <c r="P67" s="5">
        <f t="shared" si="71"/>
        <v>1</v>
      </c>
      <c r="Q67" s="5">
        <f t="shared" si="71"/>
        <v>2</v>
      </c>
      <c r="R67" s="5">
        <f t="shared" si="71"/>
        <v>1</v>
      </c>
      <c r="S67" s="5">
        <f t="shared" si="71"/>
        <v>2</v>
      </c>
      <c r="T67" s="5">
        <f t="shared" si="71"/>
        <v>5</v>
      </c>
      <c r="U67" s="5">
        <f t="shared" si="71"/>
        <v>3</v>
      </c>
      <c r="V67" s="5">
        <f t="shared" si="71"/>
        <v>1</v>
      </c>
      <c r="W67" s="5">
        <f t="shared" si="71"/>
        <v>5</v>
      </c>
      <c r="X67" s="5">
        <f t="shared" si="71"/>
        <v>3</v>
      </c>
      <c r="Y67" s="5">
        <f t="shared" si="71"/>
        <v>5</v>
      </c>
      <c r="Z67" s="5">
        <f t="shared" si="71"/>
        <v>2</v>
      </c>
      <c r="AA67" s="5">
        <f t="shared" si="71"/>
        <v>1</v>
      </c>
      <c r="AB67" s="5">
        <f t="shared" si="71"/>
        <v>2</v>
      </c>
    </row>
    <row r="68">
      <c r="C68" s="5" t="s">
        <v>28</v>
      </c>
      <c r="D68" s="5">
        <f t="shared" si="72"/>
        <v>3</v>
      </c>
      <c r="F68" s="5">
        <f t="shared" ref="F68:AB68" si="73">COUNTIF(F$95:F$104,$C68)</f>
        <v>2</v>
      </c>
      <c r="G68" s="5">
        <f t="shared" si="73"/>
        <v>1</v>
      </c>
      <c r="H68" s="5">
        <f t="shared" si="73"/>
        <v>2</v>
      </c>
      <c r="I68" s="5">
        <f t="shared" si="73"/>
        <v>4</v>
      </c>
      <c r="J68" s="5">
        <f t="shared" si="73"/>
        <v>5</v>
      </c>
      <c r="K68" s="5">
        <f t="shared" si="73"/>
        <v>3</v>
      </c>
      <c r="L68" s="5">
        <f t="shared" si="73"/>
        <v>0</v>
      </c>
      <c r="M68" s="5">
        <f t="shared" si="73"/>
        <v>0</v>
      </c>
      <c r="N68" s="5">
        <f t="shared" si="73"/>
        <v>4</v>
      </c>
      <c r="O68" s="5">
        <f t="shared" si="73"/>
        <v>1</v>
      </c>
      <c r="P68" s="5">
        <f t="shared" si="73"/>
        <v>4</v>
      </c>
      <c r="Q68" s="5">
        <f t="shared" si="73"/>
        <v>1</v>
      </c>
      <c r="R68" s="5">
        <f t="shared" si="73"/>
        <v>1</v>
      </c>
      <c r="S68" s="5">
        <f t="shared" si="73"/>
        <v>4</v>
      </c>
      <c r="T68" s="5">
        <f t="shared" si="73"/>
        <v>0</v>
      </c>
      <c r="U68" s="5">
        <f t="shared" si="73"/>
        <v>2</v>
      </c>
      <c r="V68" s="5">
        <f t="shared" si="73"/>
        <v>3</v>
      </c>
      <c r="W68" s="5">
        <f t="shared" si="73"/>
        <v>1</v>
      </c>
      <c r="X68" s="5">
        <f t="shared" si="73"/>
        <v>2</v>
      </c>
      <c r="Y68" s="5">
        <f t="shared" si="73"/>
        <v>4</v>
      </c>
      <c r="Z68" s="5">
        <f t="shared" si="73"/>
        <v>3</v>
      </c>
      <c r="AA68" s="5">
        <f t="shared" si="73"/>
        <v>7</v>
      </c>
      <c r="AB68" s="5">
        <f t="shared" si="73"/>
        <v>3</v>
      </c>
    </row>
    <row r="69">
      <c r="C69" s="5" t="s">
        <v>25</v>
      </c>
      <c r="D69" s="5">
        <f t="shared" si="72"/>
        <v>3</v>
      </c>
      <c r="F69" s="5">
        <f t="shared" ref="F69:AB69" si="74">COUNTIF(F$95:F$104,$C69)</f>
        <v>3</v>
      </c>
      <c r="G69" s="5">
        <f t="shared" si="74"/>
        <v>4</v>
      </c>
      <c r="H69" s="5">
        <f t="shared" si="74"/>
        <v>4</v>
      </c>
      <c r="I69" s="5">
        <f t="shared" si="74"/>
        <v>4</v>
      </c>
      <c r="J69" s="5">
        <f t="shared" si="74"/>
        <v>1</v>
      </c>
      <c r="K69" s="5">
        <f t="shared" si="74"/>
        <v>1</v>
      </c>
      <c r="L69" s="5">
        <f t="shared" si="74"/>
        <v>3</v>
      </c>
      <c r="M69" s="5">
        <f t="shared" si="74"/>
        <v>2</v>
      </c>
      <c r="N69" s="5">
        <f t="shared" si="74"/>
        <v>3</v>
      </c>
      <c r="O69" s="5">
        <f t="shared" si="74"/>
        <v>2</v>
      </c>
      <c r="P69" s="5">
        <f t="shared" si="74"/>
        <v>1</v>
      </c>
      <c r="Q69" s="5">
        <f t="shared" si="74"/>
        <v>4</v>
      </c>
      <c r="R69" s="5">
        <f t="shared" si="74"/>
        <v>3</v>
      </c>
      <c r="S69" s="5">
        <f t="shared" si="74"/>
        <v>2</v>
      </c>
      <c r="T69" s="5">
        <f t="shared" si="74"/>
        <v>1</v>
      </c>
      <c r="U69" s="5">
        <f t="shared" si="74"/>
        <v>4</v>
      </c>
      <c r="V69" s="5">
        <f t="shared" si="74"/>
        <v>2</v>
      </c>
      <c r="W69" s="5">
        <f t="shared" si="74"/>
        <v>2</v>
      </c>
      <c r="X69" s="5">
        <f t="shared" si="74"/>
        <v>2</v>
      </c>
      <c r="Y69" s="5">
        <f t="shared" si="74"/>
        <v>1</v>
      </c>
      <c r="Z69" s="5">
        <f t="shared" si="74"/>
        <v>3</v>
      </c>
      <c r="AA69" s="5">
        <f t="shared" si="74"/>
        <v>2</v>
      </c>
      <c r="AB69" s="5">
        <f t="shared" si="74"/>
        <v>1</v>
      </c>
    </row>
    <row r="70">
      <c r="C70" s="5" t="s">
        <v>26</v>
      </c>
      <c r="D70" s="5">
        <f t="shared" si="72"/>
        <v>2</v>
      </c>
      <c r="F70" s="5">
        <f t="shared" ref="F70:AB70" si="75">COUNTIF(F$95:F$104,$C70)</f>
        <v>3</v>
      </c>
      <c r="G70" s="5">
        <f t="shared" si="75"/>
        <v>3</v>
      </c>
      <c r="H70" s="5">
        <f t="shared" si="75"/>
        <v>3</v>
      </c>
      <c r="I70" s="5">
        <f t="shared" si="75"/>
        <v>0</v>
      </c>
      <c r="J70" s="5">
        <f t="shared" si="75"/>
        <v>0</v>
      </c>
      <c r="K70" s="5">
        <f t="shared" si="75"/>
        <v>2</v>
      </c>
      <c r="L70" s="5">
        <f t="shared" si="75"/>
        <v>4</v>
      </c>
      <c r="M70" s="5">
        <f t="shared" si="75"/>
        <v>5</v>
      </c>
      <c r="N70" s="5">
        <f t="shared" si="75"/>
        <v>2</v>
      </c>
      <c r="O70" s="5">
        <f t="shared" si="75"/>
        <v>4</v>
      </c>
      <c r="P70" s="5">
        <f t="shared" si="75"/>
        <v>4</v>
      </c>
      <c r="Q70" s="5">
        <f t="shared" si="75"/>
        <v>3</v>
      </c>
      <c r="R70" s="5">
        <f t="shared" si="75"/>
        <v>5</v>
      </c>
      <c r="S70" s="5">
        <f t="shared" si="75"/>
        <v>2</v>
      </c>
      <c r="T70" s="5">
        <f t="shared" si="75"/>
        <v>4</v>
      </c>
      <c r="U70" s="5">
        <f t="shared" si="75"/>
        <v>1</v>
      </c>
      <c r="V70" s="5">
        <f t="shared" si="75"/>
        <v>4</v>
      </c>
      <c r="W70" s="5">
        <f t="shared" si="75"/>
        <v>2</v>
      </c>
      <c r="X70" s="5">
        <f t="shared" si="75"/>
        <v>3</v>
      </c>
      <c r="Y70" s="5">
        <f t="shared" si="75"/>
        <v>0</v>
      </c>
      <c r="Z70" s="5">
        <f t="shared" si="75"/>
        <v>2</v>
      </c>
      <c r="AA70" s="5">
        <f t="shared" si="75"/>
        <v>0</v>
      </c>
      <c r="AB70" s="5">
        <f t="shared" si="75"/>
        <v>4</v>
      </c>
    </row>
    <row r="71">
      <c r="D71" s="5">
        <f>0.75*D69+0.5*D67+0.25*D68</f>
        <v>4</v>
      </c>
      <c r="F71" s="5">
        <f t="shared" ref="F71:AB71" si="76">0.75*F69+0.5*F67+0.25*F68</f>
        <v>3.75</v>
      </c>
      <c r="G71" s="5">
        <f t="shared" si="76"/>
        <v>4.25</v>
      </c>
      <c r="H71" s="5">
        <f t="shared" si="76"/>
        <v>4</v>
      </c>
      <c r="I71" s="5">
        <f t="shared" si="76"/>
        <v>5</v>
      </c>
      <c r="J71" s="5">
        <f t="shared" si="76"/>
        <v>4</v>
      </c>
      <c r="K71" s="5">
        <f t="shared" si="76"/>
        <v>3.5</v>
      </c>
      <c r="L71" s="5">
        <f t="shared" si="76"/>
        <v>3.75</v>
      </c>
      <c r="M71" s="5">
        <f t="shared" si="76"/>
        <v>3</v>
      </c>
      <c r="N71" s="5">
        <f t="shared" si="76"/>
        <v>3.75</v>
      </c>
      <c r="O71" s="5">
        <f t="shared" si="76"/>
        <v>3.25</v>
      </c>
      <c r="P71" s="5">
        <f t="shared" si="76"/>
        <v>2.25</v>
      </c>
      <c r="Q71" s="5">
        <f t="shared" si="76"/>
        <v>4.25</v>
      </c>
      <c r="R71" s="5">
        <f t="shared" si="76"/>
        <v>3</v>
      </c>
      <c r="S71" s="5">
        <f t="shared" si="76"/>
        <v>3.5</v>
      </c>
      <c r="T71" s="5">
        <f t="shared" si="76"/>
        <v>3.25</v>
      </c>
      <c r="U71" s="5">
        <f t="shared" si="76"/>
        <v>5</v>
      </c>
      <c r="V71" s="5">
        <f t="shared" si="76"/>
        <v>2.75</v>
      </c>
      <c r="W71" s="5">
        <f t="shared" si="76"/>
        <v>4.25</v>
      </c>
      <c r="X71" s="5">
        <f t="shared" si="76"/>
        <v>3.5</v>
      </c>
      <c r="Y71" s="5">
        <f t="shared" si="76"/>
        <v>4.25</v>
      </c>
      <c r="Z71" s="5">
        <f t="shared" si="76"/>
        <v>4</v>
      </c>
      <c r="AA71" s="5">
        <f t="shared" si="76"/>
        <v>3.75</v>
      </c>
      <c r="AB71" s="5">
        <f t="shared" si="76"/>
        <v>2.5</v>
      </c>
    </row>
    <row r="94">
      <c r="B94" s="4" t="s">
        <v>63</v>
      </c>
      <c r="C94" s="4" t="s">
        <v>64</v>
      </c>
      <c r="D94" s="4" t="s">
        <v>24</v>
      </c>
      <c r="E94" s="4"/>
      <c r="F94" s="4" t="s">
        <v>29</v>
      </c>
      <c r="G94" s="4" t="s">
        <v>30</v>
      </c>
      <c r="H94" s="4" t="s">
        <v>31</v>
      </c>
      <c r="I94" s="4" t="s">
        <v>32</v>
      </c>
      <c r="J94" s="4" t="s">
        <v>33</v>
      </c>
      <c r="K94" s="4" t="s">
        <v>34</v>
      </c>
      <c r="L94" s="4" t="s">
        <v>35</v>
      </c>
      <c r="M94" s="4" t="s">
        <v>36</v>
      </c>
      <c r="N94" s="4" t="s">
        <v>37</v>
      </c>
      <c r="O94" s="4" t="s">
        <v>38</v>
      </c>
      <c r="P94" s="4" t="s">
        <v>39</v>
      </c>
      <c r="Q94" s="4" t="s">
        <v>40</v>
      </c>
      <c r="R94" s="4" t="s">
        <v>41</v>
      </c>
      <c r="S94" s="4" t="s">
        <v>42</v>
      </c>
      <c r="T94" s="4" t="s">
        <v>43</v>
      </c>
      <c r="U94" s="4" t="s">
        <v>44</v>
      </c>
      <c r="V94" s="4" t="s">
        <v>45</v>
      </c>
      <c r="W94" s="4" t="s">
        <v>46</v>
      </c>
      <c r="X94" s="4" t="s">
        <v>47</v>
      </c>
      <c r="Y94" s="4" t="s">
        <v>48</v>
      </c>
      <c r="Z94" s="4" t="s">
        <v>49</v>
      </c>
      <c r="AA94" s="4" t="s">
        <v>50</v>
      </c>
      <c r="AB94" s="4" t="s">
        <v>51</v>
      </c>
    </row>
    <row r="95">
      <c r="B95" s="4" t="s">
        <v>1</v>
      </c>
      <c r="C95" s="4">
        <v>1.0</v>
      </c>
      <c r="D95" s="5" t="s">
        <v>25</v>
      </c>
      <c r="F95" s="5" t="s">
        <v>26</v>
      </c>
      <c r="G95" s="5" t="s">
        <v>25</v>
      </c>
      <c r="H95" s="5" t="s">
        <v>25</v>
      </c>
      <c r="I95" s="5" t="s">
        <v>27</v>
      </c>
      <c r="J95" s="5" t="s">
        <v>27</v>
      </c>
      <c r="K95" s="5" t="s">
        <v>27</v>
      </c>
      <c r="L95" s="5" t="s">
        <v>25</v>
      </c>
      <c r="M95" s="5" t="s">
        <v>27</v>
      </c>
      <c r="N95" s="5" t="s">
        <v>25</v>
      </c>
      <c r="O95" s="5" t="s">
        <v>26</v>
      </c>
      <c r="P95" s="5" t="s">
        <v>26</v>
      </c>
      <c r="Q95" s="5" t="s">
        <v>25</v>
      </c>
      <c r="R95" s="5" t="s">
        <v>26</v>
      </c>
      <c r="S95" s="5" t="s">
        <v>26</v>
      </c>
      <c r="T95" s="5" t="s">
        <v>27</v>
      </c>
      <c r="U95" s="5" t="s">
        <v>28</v>
      </c>
      <c r="V95" s="5" t="s">
        <v>28</v>
      </c>
      <c r="W95" s="5" t="s">
        <v>26</v>
      </c>
      <c r="X95" s="5" t="s">
        <v>28</v>
      </c>
      <c r="Y95" s="5" t="s">
        <v>28</v>
      </c>
      <c r="Z95" s="5" t="s">
        <v>28</v>
      </c>
      <c r="AA95" s="5" t="s">
        <v>28</v>
      </c>
      <c r="AB95" s="4" t="s">
        <v>26</v>
      </c>
    </row>
    <row r="96">
      <c r="B96" s="4" t="s">
        <v>3</v>
      </c>
      <c r="C96" s="4">
        <v>1.0</v>
      </c>
      <c r="D96" s="5" t="s">
        <v>25</v>
      </c>
      <c r="F96" s="5" t="s">
        <v>27</v>
      </c>
      <c r="G96" s="5" t="s">
        <v>27</v>
      </c>
      <c r="H96" s="5" t="s">
        <v>28</v>
      </c>
      <c r="I96" s="5" t="s">
        <v>25</v>
      </c>
      <c r="J96" s="5" t="s">
        <v>25</v>
      </c>
      <c r="K96" s="5" t="s">
        <v>25</v>
      </c>
      <c r="L96" s="5" t="s">
        <v>27</v>
      </c>
      <c r="M96" s="5" t="s">
        <v>25</v>
      </c>
      <c r="N96" s="5" t="s">
        <v>27</v>
      </c>
      <c r="O96" s="5" t="s">
        <v>27</v>
      </c>
      <c r="P96" s="5" t="s">
        <v>28</v>
      </c>
      <c r="Q96" s="5" t="s">
        <v>26</v>
      </c>
      <c r="R96" s="5" t="s">
        <v>28</v>
      </c>
      <c r="S96" s="5" t="s">
        <v>26</v>
      </c>
      <c r="T96" s="5" t="s">
        <v>27</v>
      </c>
      <c r="U96" s="5" t="s">
        <v>25</v>
      </c>
      <c r="V96" s="5" t="s">
        <v>28</v>
      </c>
      <c r="W96" s="5" t="s">
        <v>27</v>
      </c>
      <c r="X96" s="5" t="s">
        <v>26</v>
      </c>
      <c r="Y96" s="5" t="s">
        <v>28</v>
      </c>
      <c r="Z96" s="5" t="s">
        <v>26</v>
      </c>
      <c r="AA96" s="5" t="s">
        <v>28</v>
      </c>
      <c r="AB96" s="5" t="s">
        <v>26</v>
      </c>
    </row>
    <row r="97">
      <c r="B97" s="4" t="s">
        <v>5</v>
      </c>
      <c r="C97" s="4">
        <v>1.0</v>
      </c>
      <c r="D97" s="5" t="s">
        <v>25</v>
      </c>
      <c r="F97" s="5" t="s">
        <v>26</v>
      </c>
      <c r="G97" s="5" t="s">
        <v>25</v>
      </c>
      <c r="H97" s="5" t="s">
        <v>25</v>
      </c>
      <c r="I97" s="5" t="s">
        <v>28</v>
      </c>
      <c r="J97" s="5" t="s">
        <v>27</v>
      </c>
      <c r="K97" s="5" t="s">
        <v>27</v>
      </c>
      <c r="L97" s="5" t="s">
        <v>25</v>
      </c>
      <c r="M97" s="5" t="s">
        <v>25</v>
      </c>
      <c r="N97" s="5" t="s">
        <v>25</v>
      </c>
      <c r="O97" s="5" t="s">
        <v>26</v>
      </c>
      <c r="P97" s="5" t="s">
        <v>26</v>
      </c>
      <c r="Q97" s="5" t="s">
        <v>25</v>
      </c>
      <c r="R97" s="5" t="s">
        <v>26</v>
      </c>
      <c r="S97" s="5" t="s">
        <v>28</v>
      </c>
      <c r="T97" s="5" t="s">
        <v>27</v>
      </c>
      <c r="U97" s="5" t="s">
        <v>26</v>
      </c>
      <c r="V97" s="5" t="s">
        <v>26</v>
      </c>
      <c r="W97" s="5" t="s">
        <v>28</v>
      </c>
      <c r="X97" s="5" t="s">
        <v>27</v>
      </c>
      <c r="Y97" s="5" t="s">
        <v>27</v>
      </c>
      <c r="Z97" s="5" t="s">
        <v>27</v>
      </c>
      <c r="AA97" s="5" t="s">
        <v>28</v>
      </c>
      <c r="AB97" s="5" t="s">
        <v>28</v>
      </c>
    </row>
    <row r="98">
      <c r="B98" s="4" t="s">
        <v>9</v>
      </c>
      <c r="C98" s="4">
        <v>1.0</v>
      </c>
      <c r="D98" s="5" t="s">
        <v>27</v>
      </c>
      <c r="F98" s="5" t="s">
        <v>25</v>
      </c>
      <c r="G98" s="5" t="s">
        <v>26</v>
      </c>
      <c r="H98" s="5" t="s">
        <v>26</v>
      </c>
      <c r="I98" s="5" t="s">
        <v>25</v>
      </c>
      <c r="J98" s="5" t="s">
        <v>28</v>
      </c>
      <c r="K98" s="5" t="s">
        <v>28</v>
      </c>
      <c r="L98" s="5" t="s">
        <v>26</v>
      </c>
      <c r="M98" s="5" t="s">
        <v>27</v>
      </c>
      <c r="N98" s="5" t="s">
        <v>26</v>
      </c>
      <c r="O98" s="5" t="s">
        <v>25</v>
      </c>
      <c r="P98" s="5" t="s">
        <v>28</v>
      </c>
      <c r="Q98" s="5" t="s">
        <v>26</v>
      </c>
      <c r="R98" s="5" t="s">
        <v>26</v>
      </c>
      <c r="S98" s="5" t="s">
        <v>28</v>
      </c>
      <c r="T98" s="5" t="s">
        <v>27</v>
      </c>
      <c r="U98" s="5" t="s">
        <v>25</v>
      </c>
      <c r="V98" s="5" t="s">
        <v>25</v>
      </c>
      <c r="W98" s="5" t="s">
        <v>25</v>
      </c>
      <c r="X98" s="5" t="s">
        <v>26</v>
      </c>
      <c r="Y98" s="5" t="s">
        <v>28</v>
      </c>
      <c r="Z98" s="5" t="s">
        <v>28</v>
      </c>
      <c r="AA98" s="5" t="s">
        <v>27</v>
      </c>
      <c r="AB98" s="5" t="s">
        <v>26</v>
      </c>
    </row>
    <row r="99">
      <c r="B99" s="4" t="s">
        <v>10</v>
      </c>
      <c r="C99" s="4">
        <v>1.0</v>
      </c>
      <c r="D99" s="5" t="s">
        <v>27</v>
      </c>
      <c r="F99" s="5" t="s">
        <v>25</v>
      </c>
      <c r="G99" s="5" t="s">
        <v>26</v>
      </c>
      <c r="H99" s="5" t="s">
        <v>26</v>
      </c>
      <c r="I99" s="5" t="s">
        <v>25</v>
      </c>
      <c r="J99" s="5" t="s">
        <v>27</v>
      </c>
      <c r="K99" s="5" t="s">
        <v>28</v>
      </c>
      <c r="L99" s="5" t="s">
        <v>26</v>
      </c>
      <c r="M99" s="5" t="s">
        <v>27</v>
      </c>
      <c r="N99" s="5" t="s">
        <v>28</v>
      </c>
      <c r="O99" s="5" t="s">
        <v>25</v>
      </c>
      <c r="P99" s="5" t="s">
        <v>28</v>
      </c>
      <c r="Q99" s="5" t="s">
        <v>26</v>
      </c>
      <c r="R99" s="5" t="s">
        <v>26</v>
      </c>
      <c r="S99" s="5" t="s">
        <v>28</v>
      </c>
      <c r="T99" s="5" t="s">
        <v>25</v>
      </c>
      <c r="U99" s="5" t="s">
        <v>25</v>
      </c>
      <c r="V99" s="5" t="s">
        <v>25</v>
      </c>
      <c r="W99" s="5" t="s">
        <v>27</v>
      </c>
      <c r="X99" s="5" t="s">
        <v>26</v>
      </c>
      <c r="Y99" s="5" t="s">
        <v>28</v>
      </c>
      <c r="Z99" s="5" t="s">
        <v>26</v>
      </c>
      <c r="AA99" s="5" t="s">
        <v>28</v>
      </c>
      <c r="AB99" s="5" t="s">
        <v>28</v>
      </c>
    </row>
    <row r="100">
      <c r="B100" s="4" t="s">
        <v>15</v>
      </c>
      <c r="C100" s="4">
        <v>1.0</v>
      </c>
      <c r="D100" s="5" t="s">
        <v>28</v>
      </c>
      <c r="F100" s="5" t="s">
        <v>27</v>
      </c>
      <c r="G100" s="5" t="s">
        <v>28</v>
      </c>
      <c r="H100" s="5" t="s">
        <v>28</v>
      </c>
      <c r="I100" s="5" t="s">
        <v>27</v>
      </c>
      <c r="J100" s="5" t="s">
        <v>27</v>
      </c>
      <c r="K100" s="5" t="s">
        <v>27</v>
      </c>
      <c r="L100" s="5" t="s">
        <v>27</v>
      </c>
      <c r="M100" s="5" t="s">
        <v>26</v>
      </c>
      <c r="N100" s="5" t="s">
        <v>28</v>
      </c>
      <c r="O100" s="5" t="s">
        <v>28</v>
      </c>
      <c r="P100" s="5" t="s">
        <v>25</v>
      </c>
      <c r="Q100" s="5" t="s">
        <v>27</v>
      </c>
      <c r="R100" s="5" t="s">
        <v>27</v>
      </c>
      <c r="S100" s="5" t="s">
        <v>25</v>
      </c>
      <c r="T100" s="5" t="s">
        <v>26</v>
      </c>
      <c r="U100" s="5" t="s">
        <v>28</v>
      </c>
      <c r="V100" s="5" t="s">
        <v>26</v>
      </c>
      <c r="W100" s="5" t="s">
        <v>26</v>
      </c>
      <c r="X100" s="5" t="s">
        <v>25</v>
      </c>
      <c r="Y100" s="5" t="s">
        <v>25</v>
      </c>
      <c r="Z100" s="5" t="s">
        <v>25</v>
      </c>
      <c r="AA100" s="5" t="s">
        <v>25</v>
      </c>
      <c r="AB100" s="5" t="s">
        <v>27</v>
      </c>
    </row>
    <row r="101">
      <c r="B101" s="6" t="s">
        <v>16</v>
      </c>
      <c r="C101" s="4">
        <v>1.0</v>
      </c>
      <c r="D101" s="5" t="s">
        <v>26</v>
      </c>
      <c r="F101" s="5" t="s">
        <v>25</v>
      </c>
      <c r="G101" s="5" t="s">
        <v>26</v>
      </c>
      <c r="H101" s="5" t="s">
        <v>26</v>
      </c>
      <c r="I101" s="5" t="s">
        <v>25</v>
      </c>
      <c r="J101" s="5" t="s">
        <v>28</v>
      </c>
      <c r="K101" s="5" t="s">
        <v>28</v>
      </c>
      <c r="L101" s="5" t="s">
        <v>26</v>
      </c>
      <c r="M101" s="5" t="s">
        <v>26</v>
      </c>
      <c r="N101" s="5" t="s">
        <v>28</v>
      </c>
      <c r="O101" s="5" t="s">
        <v>27</v>
      </c>
      <c r="P101" s="5" t="s">
        <v>27</v>
      </c>
      <c r="Q101" s="5" t="s">
        <v>28</v>
      </c>
      <c r="R101" s="5" t="s">
        <v>26</v>
      </c>
      <c r="S101" s="5" t="s">
        <v>28</v>
      </c>
      <c r="T101" s="5" t="s">
        <v>27</v>
      </c>
      <c r="U101" s="5" t="s">
        <v>27</v>
      </c>
      <c r="V101" s="5" t="s">
        <v>28</v>
      </c>
      <c r="W101" s="5" t="s">
        <v>27</v>
      </c>
      <c r="X101" s="5" t="s">
        <v>28</v>
      </c>
      <c r="Y101" s="5" t="s">
        <v>27</v>
      </c>
      <c r="Z101" s="5" t="s">
        <v>25</v>
      </c>
      <c r="AA101" s="5" t="s">
        <v>25</v>
      </c>
      <c r="AB101" s="5" t="s">
        <v>28</v>
      </c>
    </row>
    <row r="102">
      <c r="B102" s="6" t="s">
        <v>18</v>
      </c>
      <c r="C102" s="4">
        <v>1.0</v>
      </c>
      <c r="D102" s="5" t="s">
        <v>26</v>
      </c>
      <c r="F102" s="5" t="s">
        <v>28</v>
      </c>
      <c r="G102" s="5" t="s">
        <v>27</v>
      </c>
      <c r="H102" s="5" t="s">
        <v>27</v>
      </c>
      <c r="I102" s="5" t="s">
        <v>28</v>
      </c>
      <c r="J102" s="5" t="s">
        <v>28</v>
      </c>
      <c r="K102" s="5" t="s">
        <v>26</v>
      </c>
      <c r="L102" s="5" t="s">
        <v>27</v>
      </c>
      <c r="M102" s="5" t="s">
        <v>26</v>
      </c>
      <c r="N102" s="5" t="s">
        <v>28</v>
      </c>
      <c r="O102" s="5" t="s">
        <v>27</v>
      </c>
      <c r="P102" s="5" t="s">
        <v>28</v>
      </c>
      <c r="Q102" s="5" t="s">
        <v>27</v>
      </c>
      <c r="R102" s="5" t="s">
        <v>25</v>
      </c>
      <c r="S102" s="5" t="s">
        <v>25</v>
      </c>
      <c r="T102" s="5" t="s">
        <v>26</v>
      </c>
      <c r="U102" s="5" t="s">
        <v>25</v>
      </c>
      <c r="V102" s="5" t="s">
        <v>26</v>
      </c>
      <c r="W102" s="5" t="s">
        <v>25</v>
      </c>
      <c r="X102" s="5" t="s">
        <v>27</v>
      </c>
      <c r="Y102" s="5" t="s">
        <v>27</v>
      </c>
      <c r="Z102" s="5" t="s">
        <v>25</v>
      </c>
      <c r="AA102" s="5" t="s">
        <v>28</v>
      </c>
      <c r="AB102" s="5" t="s">
        <v>26</v>
      </c>
    </row>
    <row r="103">
      <c r="B103" s="6" t="s">
        <v>19</v>
      </c>
      <c r="C103" s="4">
        <v>1.0</v>
      </c>
      <c r="D103" s="5" t="s">
        <v>28</v>
      </c>
      <c r="F103" s="5" t="s">
        <v>26</v>
      </c>
      <c r="G103" s="5" t="s">
        <v>25</v>
      </c>
      <c r="H103" s="5" t="s">
        <v>25</v>
      </c>
      <c r="I103" s="5" t="s">
        <v>28</v>
      </c>
      <c r="J103" s="5" t="s">
        <v>28</v>
      </c>
      <c r="K103" s="5" t="s">
        <v>27</v>
      </c>
      <c r="L103" s="5" t="s">
        <v>25</v>
      </c>
      <c r="M103" s="5" t="s">
        <v>26</v>
      </c>
      <c r="N103" s="5" t="s">
        <v>25</v>
      </c>
      <c r="O103" s="5" t="s">
        <v>26</v>
      </c>
      <c r="P103" s="5" t="s">
        <v>26</v>
      </c>
      <c r="Q103" s="5" t="s">
        <v>25</v>
      </c>
      <c r="R103" s="5" t="s">
        <v>25</v>
      </c>
      <c r="S103" s="5" t="s">
        <v>27</v>
      </c>
      <c r="T103" s="5" t="s">
        <v>26</v>
      </c>
      <c r="U103" s="5" t="s">
        <v>27</v>
      </c>
      <c r="V103" s="5" t="s">
        <v>26</v>
      </c>
      <c r="W103" s="5" t="s">
        <v>27</v>
      </c>
      <c r="X103" s="5" t="s">
        <v>25</v>
      </c>
      <c r="Y103" s="5" t="s">
        <v>27</v>
      </c>
      <c r="Z103" s="5" t="s">
        <v>27</v>
      </c>
      <c r="AA103" s="5" t="s">
        <v>28</v>
      </c>
      <c r="AB103" s="5" t="s">
        <v>27</v>
      </c>
    </row>
    <row r="104">
      <c r="B104" s="6" t="s">
        <v>21</v>
      </c>
      <c r="C104" s="4">
        <v>1.0</v>
      </c>
      <c r="D104" s="5" t="s">
        <v>28</v>
      </c>
      <c r="F104" s="5" t="s">
        <v>28</v>
      </c>
      <c r="G104" s="5" t="s">
        <v>25</v>
      </c>
      <c r="H104" s="5" t="s">
        <v>25</v>
      </c>
      <c r="I104" s="5" t="s">
        <v>28</v>
      </c>
      <c r="J104" s="5" t="s">
        <v>28</v>
      </c>
      <c r="K104" s="5" t="s">
        <v>26</v>
      </c>
      <c r="L104" s="5" t="s">
        <v>26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25</v>
      </c>
      <c r="R104" s="5" t="s">
        <v>25</v>
      </c>
      <c r="S104" s="5" t="s">
        <v>27</v>
      </c>
      <c r="T104" s="5" t="s">
        <v>26</v>
      </c>
      <c r="U104" s="5" t="s">
        <v>27</v>
      </c>
      <c r="V104" s="5" t="s">
        <v>27</v>
      </c>
      <c r="W104" s="5" t="s">
        <v>27</v>
      </c>
      <c r="X104" s="5" t="s">
        <v>27</v>
      </c>
      <c r="Y104" s="5" t="s">
        <v>27</v>
      </c>
      <c r="Z104" s="5" t="s">
        <v>28</v>
      </c>
      <c r="AA104" s="5" t="s">
        <v>28</v>
      </c>
      <c r="AB104" s="5" t="s">
        <v>25</v>
      </c>
    </row>
    <row r="108">
      <c r="I108" s="1" t="s">
        <v>65</v>
      </c>
    </row>
    <row r="109">
      <c r="A109" s="4" t="s">
        <v>63</v>
      </c>
      <c r="B109" s="4" t="s">
        <v>66</v>
      </c>
      <c r="C109" s="4" t="s">
        <v>67</v>
      </c>
      <c r="D109" s="4" t="s">
        <v>68</v>
      </c>
      <c r="E109" s="4"/>
      <c r="F109" s="4" t="s">
        <v>69</v>
      </c>
      <c r="G109" s="4" t="s">
        <v>70</v>
      </c>
      <c r="H109" s="10" t="s">
        <v>71</v>
      </c>
      <c r="I109" s="4" t="s">
        <v>72</v>
      </c>
      <c r="J109" s="4">
        <v>100.0</v>
      </c>
      <c r="K109" s="1" t="s">
        <v>36</v>
      </c>
      <c r="L109" s="1" t="s">
        <v>37</v>
      </c>
      <c r="M109" s="1" t="s">
        <v>31</v>
      </c>
      <c r="N109" s="1" t="s">
        <v>30</v>
      </c>
      <c r="O109" s="1" t="s">
        <v>24</v>
      </c>
    </row>
    <row r="110">
      <c r="A110" s="4" t="s">
        <v>24</v>
      </c>
      <c r="B110" s="5">
        <v>4.0</v>
      </c>
      <c r="C110" s="5">
        <f t="array" ref="C110">INDEX($K$117:$K$140,MATCH(A110,$J$117:$J$140,0))</f>
        <v>100</v>
      </c>
      <c r="D110" s="5">
        <f t="shared" ref="D110:D133" si="77">(B110/7.5+C110/100)/2</f>
        <v>0.7666666667</v>
      </c>
      <c r="F110" s="5">
        <f t="shared" ref="F110:F133" si="78">RANK(D110,$D$110:$D$133)</f>
        <v>5</v>
      </c>
      <c r="H110" s="10" t="s">
        <v>73</v>
      </c>
      <c r="I110" s="4" t="s">
        <v>74</v>
      </c>
      <c r="J110" s="4">
        <v>100.0</v>
      </c>
      <c r="K110" s="4" t="s">
        <v>47</v>
      </c>
      <c r="L110" s="4" t="s">
        <v>33</v>
      </c>
      <c r="M110" s="4" t="s">
        <v>46</v>
      </c>
      <c r="N110" s="4" t="s">
        <v>48</v>
      </c>
      <c r="O110" s="4" t="s">
        <v>32</v>
      </c>
    </row>
    <row r="111">
      <c r="A111" s="4" t="s">
        <v>29</v>
      </c>
      <c r="B111" s="5">
        <v>3.75</v>
      </c>
      <c r="C111" s="4">
        <v>80.0</v>
      </c>
      <c r="D111" s="5">
        <f t="shared" si="77"/>
        <v>0.65</v>
      </c>
      <c r="F111" s="5">
        <f t="shared" si="78"/>
        <v>12</v>
      </c>
      <c r="H111" s="10" t="s">
        <v>75</v>
      </c>
      <c r="I111" s="4" t="s">
        <v>76</v>
      </c>
      <c r="J111" s="4">
        <v>80.0</v>
      </c>
      <c r="K111" s="4" t="s">
        <v>34</v>
      </c>
      <c r="L111" s="4" t="s">
        <v>39</v>
      </c>
      <c r="M111" s="4" t="s">
        <v>38</v>
      </c>
      <c r="N111" s="4" t="s">
        <v>40</v>
      </c>
      <c r="O111" s="4" t="s">
        <v>42</v>
      </c>
    </row>
    <row r="112">
      <c r="A112" s="4" t="s">
        <v>30</v>
      </c>
      <c r="B112" s="5">
        <v>4.25</v>
      </c>
      <c r="C112" s="5">
        <f t="shared" ref="C112:C116" si="79">INDEX($K$117:$K$140,MATCH(A112,$J$117:$J$140,0))</f>
        <v>100</v>
      </c>
      <c r="D112" s="5">
        <f t="shared" si="77"/>
        <v>0.7833333333</v>
      </c>
      <c r="F112" s="5">
        <f t="shared" si="78"/>
        <v>2</v>
      </c>
      <c r="H112" s="10" t="s">
        <v>77</v>
      </c>
      <c r="I112" s="4" t="s">
        <v>78</v>
      </c>
      <c r="J112" s="4">
        <v>65.0</v>
      </c>
      <c r="K112" s="4" t="s">
        <v>41</v>
      </c>
      <c r="L112" s="4" t="s">
        <v>45</v>
      </c>
      <c r="M112" s="4" t="s">
        <v>30</v>
      </c>
      <c r="N112" s="4" t="s">
        <v>31</v>
      </c>
      <c r="O112" s="4"/>
    </row>
    <row r="113">
      <c r="A113" s="4" t="s">
        <v>31</v>
      </c>
      <c r="B113" s="5">
        <v>4.0</v>
      </c>
      <c r="C113" s="5">
        <f t="shared" si="79"/>
        <v>100</v>
      </c>
      <c r="D113" s="5">
        <f t="shared" si="77"/>
        <v>0.7666666667</v>
      </c>
      <c r="F113" s="5">
        <f t="shared" si="78"/>
        <v>5</v>
      </c>
      <c r="H113" s="10" t="s">
        <v>79</v>
      </c>
      <c r="I113" s="4" t="s">
        <v>80</v>
      </c>
      <c r="J113" s="4">
        <v>50.0</v>
      </c>
      <c r="K113" s="4" t="s">
        <v>49</v>
      </c>
      <c r="L113" s="4" t="s">
        <v>43</v>
      </c>
      <c r="M113" s="4" t="s">
        <v>44</v>
      </c>
      <c r="N113" s="4" t="s">
        <v>50</v>
      </c>
      <c r="O113" s="4" t="s">
        <v>81</v>
      </c>
    </row>
    <row r="114">
      <c r="A114" s="4" t="s">
        <v>32</v>
      </c>
      <c r="B114" s="5">
        <v>5.0</v>
      </c>
      <c r="C114" s="5">
        <f t="shared" si="79"/>
        <v>100</v>
      </c>
      <c r="D114" s="5">
        <f t="shared" si="77"/>
        <v>0.8333333333</v>
      </c>
      <c r="F114" s="5">
        <f t="shared" si="78"/>
        <v>1</v>
      </c>
    </row>
    <row r="115">
      <c r="A115" s="4" t="s">
        <v>33</v>
      </c>
      <c r="B115" s="5">
        <v>4.0</v>
      </c>
      <c r="C115" s="5">
        <f t="shared" si="79"/>
        <v>100</v>
      </c>
      <c r="D115" s="5">
        <f t="shared" si="77"/>
        <v>0.7666666667</v>
      </c>
      <c r="F115" s="5">
        <f t="shared" si="78"/>
        <v>5</v>
      </c>
    </row>
    <row r="116">
      <c r="A116" s="4" t="s">
        <v>34</v>
      </c>
      <c r="B116" s="5">
        <v>3.5</v>
      </c>
      <c r="C116" s="5">
        <f t="shared" si="79"/>
        <v>80</v>
      </c>
      <c r="D116" s="5">
        <f t="shared" si="77"/>
        <v>0.6333333333</v>
      </c>
      <c r="F116" s="5">
        <f t="shared" si="78"/>
        <v>14</v>
      </c>
    </row>
    <row r="117">
      <c r="A117" s="4" t="s">
        <v>35</v>
      </c>
      <c r="B117" s="5">
        <v>3.75</v>
      </c>
      <c r="C117" s="4">
        <v>80.0</v>
      </c>
      <c r="D117" s="5">
        <f t="shared" si="77"/>
        <v>0.65</v>
      </c>
      <c r="F117" s="5">
        <f t="shared" si="78"/>
        <v>12</v>
      </c>
      <c r="J117" s="1" t="s">
        <v>36</v>
      </c>
      <c r="K117" s="4">
        <v>100.0</v>
      </c>
    </row>
    <row r="118">
      <c r="A118" s="4" t="s">
        <v>36</v>
      </c>
      <c r="B118" s="5">
        <v>3.0</v>
      </c>
      <c r="C118" s="5">
        <f t="shared" ref="C118:C132" si="80">INDEX($K$117:$K$140,MATCH(A118,$J$117:$J$140,0))</f>
        <v>100</v>
      </c>
      <c r="D118" s="5">
        <f t="shared" si="77"/>
        <v>0.7</v>
      </c>
      <c r="F118" s="5">
        <f t="shared" si="78"/>
        <v>10</v>
      </c>
      <c r="J118" s="1" t="s">
        <v>37</v>
      </c>
      <c r="K118" s="4">
        <v>100.0</v>
      </c>
    </row>
    <row r="119">
      <c r="A119" s="4" t="s">
        <v>37</v>
      </c>
      <c r="B119" s="5">
        <v>3.75</v>
      </c>
      <c r="C119" s="5">
        <f t="shared" si="80"/>
        <v>100</v>
      </c>
      <c r="D119" s="5">
        <f t="shared" si="77"/>
        <v>0.75</v>
      </c>
      <c r="F119" s="5">
        <f t="shared" si="78"/>
        <v>8</v>
      </c>
      <c r="J119" s="1" t="s">
        <v>31</v>
      </c>
      <c r="K119" s="4">
        <v>100.0</v>
      </c>
    </row>
    <row r="120">
      <c r="A120" s="4" t="s">
        <v>38</v>
      </c>
      <c r="B120" s="5">
        <v>3.25</v>
      </c>
      <c r="C120" s="5">
        <f t="shared" si="80"/>
        <v>80</v>
      </c>
      <c r="D120" s="5">
        <f t="shared" si="77"/>
        <v>0.6166666667</v>
      </c>
      <c r="F120" s="5">
        <f t="shared" si="78"/>
        <v>16</v>
      </c>
      <c r="J120" s="1" t="s">
        <v>30</v>
      </c>
      <c r="K120" s="4">
        <v>100.0</v>
      </c>
    </row>
    <row r="121">
      <c r="A121" s="4" t="s">
        <v>39</v>
      </c>
      <c r="B121" s="5">
        <v>2.25</v>
      </c>
      <c r="C121" s="5">
        <f t="shared" si="80"/>
        <v>80</v>
      </c>
      <c r="D121" s="5">
        <f t="shared" si="77"/>
        <v>0.55</v>
      </c>
      <c r="F121" s="5">
        <f t="shared" si="78"/>
        <v>18</v>
      </c>
      <c r="J121" s="1" t="s">
        <v>24</v>
      </c>
      <c r="K121" s="4">
        <v>100.0</v>
      </c>
    </row>
    <row r="122">
      <c r="A122" s="4" t="s">
        <v>40</v>
      </c>
      <c r="B122" s="5">
        <v>4.25</v>
      </c>
      <c r="C122" s="5">
        <f t="shared" si="80"/>
        <v>80</v>
      </c>
      <c r="D122" s="5">
        <f t="shared" si="77"/>
        <v>0.6833333333</v>
      </c>
      <c r="F122" s="5">
        <f t="shared" si="78"/>
        <v>11</v>
      </c>
      <c r="J122" s="4" t="s">
        <v>47</v>
      </c>
      <c r="K122" s="4">
        <v>100.0</v>
      </c>
    </row>
    <row r="123">
      <c r="A123" s="4" t="s">
        <v>41</v>
      </c>
      <c r="B123" s="5">
        <v>3.0</v>
      </c>
      <c r="C123" s="5">
        <f t="shared" si="80"/>
        <v>65</v>
      </c>
      <c r="D123" s="5">
        <f t="shared" si="77"/>
        <v>0.525</v>
      </c>
      <c r="F123" s="5">
        <f t="shared" si="78"/>
        <v>19</v>
      </c>
      <c r="J123" s="4" t="s">
        <v>33</v>
      </c>
      <c r="K123" s="4">
        <v>100.0</v>
      </c>
    </row>
    <row r="124">
      <c r="A124" s="4" t="s">
        <v>42</v>
      </c>
      <c r="B124" s="5">
        <v>3.5</v>
      </c>
      <c r="C124" s="5">
        <f t="shared" si="80"/>
        <v>80</v>
      </c>
      <c r="D124" s="5">
        <f t="shared" si="77"/>
        <v>0.6333333333</v>
      </c>
      <c r="F124" s="5">
        <f t="shared" si="78"/>
        <v>14</v>
      </c>
      <c r="J124" s="4" t="s">
        <v>46</v>
      </c>
      <c r="K124" s="4">
        <v>100.0</v>
      </c>
    </row>
    <row r="125">
      <c r="A125" s="4" t="s">
        <v>43</v>
      </c>
      <c r="B125" s="5">
        <v>3.25</v>
      </c>
      <c r="C125" s="5">
        <f t="shared" si="80"/>
        <v>50</v>
      </c>
      <c r="D125" s="5">
        <f t="shared" si="77"/>
        <v>0.4666666667</v>
      </c>
      <c r="F125" s="5">
        <f t="shared" si="78"/>
        <v>23</v>
      </c>
      <c r="J125" s="4" t="s">
        <v>48</v>
      </c>
      <c r="K125" s="4">
        <v>100.0</v>
      </c>
    </row>
    <row r="126">
      <c r="A126" s="4" t="s">
        <v>44</v>
      </c>
      <c r="B126" s="5">
        <v>5.0</v>
      </c>
      <c r="C126" s="5">
        <f t="shared" si="80"/>
        <v>50</v>
      </c>
      <c r="D126" s="5">
        <f t="shared" si="77"/>
        <v>0.5833333333</v>
      </c>
      <c r="F126" s="5">
        <f t="shared" si="78"/>
        <v>17</v>
      </c>
      <c r="J126" s="4" t="s">
        <v>32</v>
      </c>
      <c r="K126" s="4">
        <v>100.0</v>
      </c>
    </row>
    <row r="127">
      <c r="A127" s="4" t="s">
        <v>45</v>
      </c>
      <c r="B127" s="5">
        <v>2.75</v>
      </c>
      <c r="C127" s="5">
        <f t="shared" si="80"/>
        <v>65</v>
      </c>
      <c r="D127" s="5">
        <f t="shared" si="77"/>
        <v>0.5083333333</v>
      </c>
      <c r="F127" s="5">
        <f t="shared" si="78"/>
        <v>21</v>
      </c>
      <c r="J127" s="4" t="s">
        <v>34</v>
      </c>
      <c r="K127" s="4">
        <v>80.0</v>
      </c>
    </row>
    <row r="128">
      <c r="A128" s="4" t="s">
        <v>46</v>
      </c>
      <c r="B128" s="5">
        <v>4.25</v>
      </c>
      <c r="C128" s="5">
        <f t="shared" si="80"/>
        <v>100</v>
      </c>
      <c r="D128" s="5">
        <f t="shared" si="77"/>
        <v>0.7833333333</v>
      </c>
      <c r="F128" s="5">
        <f t="shared" si="78"/>
        <v>2</v>
      </c>
      <c r="J128" s="4" t="s">
        <v>39</v>
      </c>
      <c r="K128" s="4">
        <v>80.0</v>
      </c>
    </row>
    <row r="129">
      <c r="A129" s="4" t="s">
        <v>47</v>
      </c>
      <c r="B129" s="5">
        <v>3.5</v>
      </c>
      <c r="C129" s="5">
        <f t="shared" si="80"/>
        <v>100</v>
      </c>
      <c r="D129" s="5">
        <f t="shared" si="77"/>
        <v>0.7333333333</v>
      </c>
      <c r="F129" s="5">
        <f t="shared" si="78"/>
        <v>9</v>
      </c>
      <c r="J129" s="4" t="s">
        <v>38</v>
      </c>
      <c r="K129" s="4">
        <v>80.0</v>
      </c>
    </row>
    <row r="130">
      <c r="A130" s="4" t="s">
        <v>48</v>
      </c>
      <c r="B130" s="5">
        <v>4.25</v>
      </c>
      <c r="C130" s="5">
        <f t="shared" si="80"/>
        <v>100</v>
      </c>
      <c r="D130" s="5">
        <f t="shared" si="77"/>
        <v>0.7833333333</v>
      </c>
      <c r="F130" s="5">
        <f t="shared" si="78"/>
        <v>2</v>
      </c>
      <c r="J130" s="4" t="s">
        <v>40</v>
      </c>
      <c r="K130" s="4">
        <v>80.0</v>
      </c>
    </row>
    <row r="131">
      <c r="A131" s="4" t="s">
        <v>49</v>
      </c>
      <c r="B131" s="5">
        <v>4.0</v>
      </c>
      <c r="C131" s="5">
        <f t="shared" si="80"/>
        <v>50</v>
      </c>
      <c r="D131" s="5">
        <f t="shared" si="77"/>
        <v>0.5166666667</v>
      </c>
      <c r="F131" s="5">
        <f t="shared" si="78"/>
        <v>20</v>
      </c>
      <c r="J131" s="4" t="s">
        <v>42</v>
      </c>
      <c r="K131" s="4">
        <v>80.0</v>
      </c>
    </row>
    <row r="132">
      <c r="A132" s="4" t="s">
        <v>50</v>
      </c>
      <c r="B132" s="5">
        <v>3.75</v>
      </c>
      <c r="C132" s="5">
        <f t="shared" si="80"/>
        <v>50</v>
      </c>
      <c r="D132" s="5">
        <f t="shared" si="77"/>
        <v>0.5</v>
      </c>
      <c r="F132" s="5">
        <f t="shared" si="78"/>
        <v>22</v>
      </c>
      <c r="J132" s="4" t="s">
        <v>41</v>
      </c>
      <c r="K132" s="4">
        <v>65.0</v>
      </c>
    </row>
    <row r="133">
      <c r="A133" s="4" t="s">
        <v>51</v>
      </c>
      <c r="B133" s="5">
        <v>2.5</v>
      </c>
      <c r="C133" s="4">
        <v>50.0</v>
      </c>
      <c r="D133" s="5">
        <f t="shared" si="77"/>
        <v>0.4166666667</v>
      </c>
      <c r="F133" s="5">
        <f t="shared" si="78"/>
        <v>24</v>
      </c>
      <c r="J133" s="4" t="s">
        <v>45</v>
      </c>
      <c r="K133" s="4">
        <v>65.0</v>
      </c>
    </row>
    <row r="134">
      <c r="J134" s="4" t="s">
        <v>30</v>
      </c>
      <c r="K134" s="4">
        <v>65.0</v>
      </c>
    </row>
    <row r="135">
      <c r="A135" s="1" t="s">
        <v>0</v>
      </c>
      <c r="B135" s="1" t="s">
        <v>82</v>
      </c>
      <c r="C135" s="1" t="s">
        <v>83</v>
      </c>
      <c r="J135" s="4" t="s">
        <v>31</v>
      </c>
      <c r="K135" s="4">
        <v>65.0</v>
      </c>
    </row>
    <row r="136">
      <c r="A136" s="4" t="s">
        <v>32</v>
      </c>
      <c r="B136" s="4">
        <v>0.8333333333</v>
      </c>
      <c r="C136" s="4">
        <v>1.0</v>
      </c>
      <c r="J136" s="4" t="s">
        <v>49</v>
      </c>
      <c r="K136" s="4">
        <v>50.0</v>
      </c>
    </row>
    <row r="137">
      <c r="A137" s="4" t="s">
        <v>30</v>
      </c>
      <c r="B137" s="4">
        <v>0.7833333333</v>
      </c>
      <c r="C137" s="4">
        <v>2.0</v>
      </c>
      <c r="J137" s="4" t="s">
        <v>43</v>
      </c>
      <c r="K137" s="4">
        <v>50.0</v>
      </c>
    </row>
    <row r="138">
      <c r="A138" s="4" t="s">
        <v>46</v>
      </c>
      <c r="B138" s="4">
        <v>0.7833333333</v>
      </c>
      <c r="C138" s="4">
        <v>2.0</v>
      </c>
      <c r="J138" s="4" t="s">
        <v>44</v>
      </c>
      <c r="K138" s="4">
        <v>50.0</v>
      </c>
    </row>
    <row r="139">
      <c r="A139" s="4" t="s">
        <v>48</v>
      </c>
      <c r="B139" s="4">
        <v>0.7833333333</v>
      </c>
      <c r="C139" s="4">
        <v>2.0</v>
      </c>
      <c r="J139" s="4" t="s">
        <v>50</v>
      </c>
      <c r="K139" s="4">
        <v>50.0</v>
      </c>
    </row>
    <row r="140">
      <c r="A140" s="4" t="s">
        <v>24</v>
      </c>
      <c r="B140" s="4">
        <v>0.7666666667</v>
      </c>
      <c r="C140" s="4">
        <v>3.0</v>
      </c>
      <c r="J140" s="4" t="s">
        <v>81</v>
      </c>
      <c r="K140" s="4">
        <v>50.0</v>
      </c>
    </row>
    <row r="141">
      <c r="A141" s="4" t="s">
        <v>31</v>
      </c>
      <c r="B141" s="4">
        <v>0.7666666667</v>
      </c>
      <c r="C141" s="4">
        <v>3.0</v>
      </c>
    </row>
    <row r="142">
      <c r="A142" s="4" t="s">
        <v>33</v>
      </c>
      <c r="B142" s="4">
        <v>0.7666666667</v>
      </c>
      <c r="C142" s="4">
        <v>3.0</v>
      </c>
    </row>
    <row r="143">
      <c r="A143" s="4" t="s">
        <v>37</v>
      </c>
      <c r="B143" s="4">
        <v>0.75</v>
      </c>
      <c r="C143" s="4">
        <v>4.0</v>
      </c>
    </row>
    <row r="144">
      <c r="A144" s="4" t="s">
        <v>47</v>
      </c>
      <c r="B144" s="4">
        <v>0.7333333333</v>
      </c>
      <c r="C144" s="4">
        <v>5.0</v>
      </c>
    </row>
    <row r="145">
      <c r="A145" s="4" t="s">
        <v>36</v>
      </c>
      <c r="B145" s="4">
        <v>0.7</v>
      </c>
      <c r="C145" s="4">
        <v>6.0</v>
      </c>
    </row>
    <row r="146">
      <c r="A146" s="4" t="s">
        <v>40</v>
      </c>
      <c r="B146" s="4">
        <v>0.6833333333</v>
      </c>
      <c r="C146" s="4">
        <v>7.0</v>
      </c>
    </row>
    <row r="147">
      <c r="A147" s="4" t="s">
        <v>29</v>
      </c>
      <c r="B147" s="4">
        <v>0.65</v>
      </c>
      <c r="C147" s="4">
        <v>8.0</v>
      </c>
    </row>
    <row r="148">
      <c r="A148" s="4" t="s">
        <v>35</v>
      </c>
      <c r="B148" s="4">
        <v>0.65</v>
      </c>
      <c r="C148" s="4">
        <v>8.0</v>
      </c>
      <c r="G148" s="5" t="s">
        <v>84</v>
      </c>
      <c r="H148" s="6" t="s">
        <v>42</v>
      </c>
      <c r="I148" s="6" t="s">
        <v>39</v>
      </c>
      <c r="J148" s="6" t="s">
        <v>33</v>
      </c>
      <c r="K148" s="6" t="s">
        <v>51</v>
      </c>
      <c r="L148" s="6" t="s">
        <v>50</v>
      </c>
    </row>
    <row r="149">
      <c r="A149" s="4" t="s">
        <v>34</v>
      </c>
      <c r="B149" s="4">
        <v>0.6333333333</v>
      </c>
      <c r="C149" s="4">
        <v>9.0</v>
      </c>
      <c r="G149" s="5" t="s">
        <v>85</v>
      </c>
      <c r="H149" s="6" t="s">
        <v>51</v>
      </c>
      <c r="I149" s="6" t="s">
        <v>50</v>
      </c>
      <c r="J149" s="6" t="s">
        <v>49</v>
      </c>
    </row>
    <row r="150">
      <c r="A150" s="4" t="s">
        <v>42</v>
      </c>
      <c r="B150" s="4">
        <v>0.6333333333</v>
      </c>
      <c r="C150" s="4">
        <v>9.0</v>
      </c>
      <c r="G150" s="5" t="s">
        <v>86</v>
      </c>
      <c r="H150" s="6" t="s">
        <v>33</v>
      </c>
      <c r="I150" s="6" t="s">
        <v>47</v>
      </c>
    </row>
    <row r="151">
      <c r="A151" s="4" t="s">
        <v>38</v>
      </c>
      <c r="B151" s="4">
        <v>0.6166666667</v>
      </c>
      <c r="C151" s="4">
        <v>10.0</v>
      </c>
    </row>
    <row r="152" hidden="1">
      <c r="A152" s="4" t="s">
        <v>44</v>
      </c>
      <c r="B152" s="4">
        <v>0.5833333333</v>
      </c>
      <c r="C152" s="4">
        <v>11.0</v>
      </c>
    </row>
    <row r="153" hidden="1">
      <c r="A153" s="4" t="s">
        <v>39</v>
      </c>
      <c r="B153" s="4">
        <v>0.55</v>
      </c>
      <c r="C153" s="4">
        <v>12.0</v>
      </c>
    </row>
    <row r="154" hidden="1">
      <c r="A154" s="4" t="s">
        <v>41</v>
      </c>
      <c r="B154" s="4">
        <v>0.525</v>
      </c>
      <c r="C154" s="4">
        <v>13.0</v>
      </c>
    </row>
    <row r="155" hidden="1">
      <c r="A155" s="4" t="s">
        <v>49</v>
      </c>
      <c r="B155" s="4">
        <v>0.5166666667</v>
      </c>
      <c r="C155" s="4">
        <v>14.0</v>
      </c>
    </row>
    <row r="156" hidden="1">
      <c r="A156" s="4" t="s">
        <v>45</v>
      </c>
      <c r="B156" s="4">
        <v>0.5083333333</v>
      </c>
      <c r="C156" s="4">
        <v>15.0</v>
      </c>
    </row>
    <row r="157" hidden="1">
      <c r="A157" s="4" t="s">
        <v>50</v>
      </c>
      <c r="B157" s="4">
        <v>0.5</v>
      </c>
      <c r="C157" s="4">
        <v>16.0</v>
      </c>
    </row>
    <row r="158" hidden="1">
      <c r="A158" s="4" t="s">
        <v>43</v>
      </c>
      <c r="B158" s="4">
        <v>0.4666666667</v>
      </c>
      <c r="C158" s="4">
        <v>17.0</v>
      </c>
    </row>
    <row r="159" hidden="1">
      <c r="A159" s="4" t="s">
        <v>51</v>
      </c>
      <c r="B159" s="4">
        <v>0.4166666667</v>
      </c>
      <c r="C159" s="4">
        <v>18.0</v>
      </c>
    </row>
    <row r="163">
      <c r="E163" s="4" t="s">
        <v>87</v>
      </c>
      <c r="F163" s="4" t="s">
        <v>88</v>
      </c>
      <c r="G163" s="4" t="s">
        <v>89</v>
      </c>
    </row>
    <row r="164">
      <c r="D164" s="6" t="s">
        <v>42</v>
      </c>
      <c r="F164" s="4">
        <v>0.0</v>
      </c>
      <c r="G164" s="4">
        <v>1.0</v>
      </c>
      <c r="H164" s="4" t="s">
        <v>0</v>
      </c>
      <c r="I164" s="4" t="s">
        <v>82</v>
      </c>
      <c r="J164" s="4" t="s">
        <v>83</v>
      </c>
      <c r="K164" s="4" t="s">
        <v>88</v>
      </c>
      <c r="L164" s="4" t="s">
        <v>89</v>
      </c>
    </row>
    <row r="165">
      <c r="D165" s="6" t="s">
        <v>39</v>
      </c>
      <c r="F165" s="4">
        <v>0.0</v>
      </c>
      <c r="G165" s="4">
        <v>1.0</v>
      </c>
      <c r="H165" s="4" t="s">
        <v>32</v>
      </c>
      <c r="I165" s="4">
        <v>0.8333333333</v>
      </c>
      <c r="J165" s="4">
        <v>1.0</v>
      </c>
      <c r="K165" s="5">
        <f t="shared" ref="K165:K180" si="81">IFNA(INDEX($F$164:$F$177,MATCH(H165,$D$164:$D$177,0)),0)</f>
        <v>0</v>
      </c>
      <c r="L165" s="5">
        <f t="shared" ref="L165:L180" si="82">IFNA(INDEX($F$164:$F$177,MATCH(H165,$D$164:$D$177,0)),0)</f>
        <v>0</v>
      </c>
    </row>
    <row r="166">
      <c r="D166" s="6" t="s">
        <v>33</v>
      </c>
      <c r="F166" s="4">
        <v>0.0</v>
      </c>
      <c r="G166" s="4">
        <v>1.0</v>
      </c>
      <c r="H166" s="4" t="s">
        <v>30</v>
      </c>
      <c r="I166" s="4">
        <v>0.7833333333</v>
      </c>
      <c r="J166" s="4">
        <v>2.0</v>
      </c>
      <c r="K166" s="5">
        <f t="shared" si="81"/>
        <v>0</v>
      </c>
      <c r="L166" s="5">
        <f t="shared" si="82"/>
        <v>0</v>
      </c>
    </row>
    <row r="167">
      <c r="D167" s="6" t="s">
        <v>51</v>
      </c>
      <c r="F167" s="4">
        <v>1.0</v>
      </c>
      <c r="G167" s="4">
        <v>2.0</v>
      </c>
      <c r="H167" s="4" t="s">
        <v>46</v>
      </c>
      <c r="I167" s="4">
        <v>0.7833333333</v>
      </c>
      <c r="J167" s="4">
        <v>2.0</v>
      </c>
      <c r="K167" s="5">
        <f t="shared" si="81"/>
        <v>0</v>
      </c>
      <c r="L167" s="5">
        <f t="shared" si="82"/>
        <v>0</v>
      </c>
    </row>
    <row r="168">
      <c r="D168" s="6" t="s">
        <v>50</v>
      </c>
      <c r="F168" s="4">
        <v>1.0</v>
      </c>
      <c r="G168" s="4">
        <v>2.0</v>
      </c>
      <c r="H168" s="4" t="s">
        <v>48</v>
      </c>
      <c r="I168" s="4">
        <v>0.7833333333</v>
      </c>
      <c r="J168" s="4">
        <v>2.0</v>
      </c>
      <c r="K168" s="5">
        <f t="shared" si="81"/>
        <v>0</v>
      </c>
      <c r="L168" s="5">
        <f t="shared" si="82"/>
        <v>0</v>
      </c>
    </row>
    <row r="169">
      <c r="D169" s="6" t="s">
        <v>49</v>
      </c>
      <c r="F169" s="4">
        <v>1.0</v>
      </c>
      <c r="G169" s="4">
        <v>1.0</v>
      </c>
      <c r="H169" s="4" t="s">
        <v>24</v>
      </c>
      <c r="I169" s="4">
        <v>0.7666666667</v>
      </c>
      <c r="J169" s="4">
        <v>3.0</v>
      </c>
      <c r="K169" s="5">
        <f t="shared" si="81"/>
        <v>0</v>
      </c>
      <c r="L169" s="5">
        <f t="shared" si="82"/>
        <v>0</v>
      </c>
    </row>
    <row r="170">
      <c r="D170" s="6" t="s">
        <v>33</v>
      </c>
      <c r="F170" s="4">
        <v>0.0</v>
      </c>
      <c r="G170" s="4">
        <v>1.0</v>
      </c>
      <c r="H170" s="4" t="s">
        <v>31</v>
      </c>
      <c r="I170" s="4">
        <v>0.7666666667</v>
      </c>
      <c r="J170" s="4">
        <v>3.0</v>
      </c>
      <c r="K170" s="5">
        <f t="shared" si="81"/>
        <v>0</v>
      </c>
      <c r="L170" s="5">
        <f t="shared" si="82"/>
        <v>0</v>
      </c>
    </row>
    <row r="171">
      <c r="D171" s="6" t="s">
        <v>47</v>
      </c>
      <c r="F171" s="4">
        <v>1.0</v>
      </c>
      <c r="G171" s="4">
        <v>1.0</v>
      </c>
      <c r="H171" s="4" t="s">
        <v>33</v>
      </c>
      <c r="I171" s="4">
        <v>0.7666666667</v>
      </c>
      <c r="J171" s="4">
        <v>3.0</v>
      </c>
      <c r="K171" s="5">
        <f t="shared" si="81"/>
        <v>0</v>
      </c>
      <c r="L171" s="5">
        <f t="shared" si="82"/>
        <v>0</v>
      </c>
    </row>
    <row r="172">
      <c r="H172" s="4" t="s">
        <v>37</v>
      </c>
      <c r="I172" s="4">
        <v>0.75</v>
      </c>
      <c r="J172" s="4">
        <v>4.0</v>
      </c>
      <c r="K172" s="5">
        <f t="shared" si="81"/>
        <v>0</v>
      </c>
      <c r="L172" s="5">
        <f t="shared" si="82"/>
        <v>0</v>
      </c>
    </row>
    <row r="173">
      <c r="H173" s="4" t="s">
        <v>47</v>
      </c>
      <c r="I173" s="4">
        <v>0.7333333333</v>
      </c>
      <c r="J173" s="4">
        <v>5.0</v>
      </c>
      <c r="K173" s="5">
        <f t="shared" si="81"/>
        <v>1</v>
      </c>
      <c r="L173" s="5">
        <f t="shared" si="82"/>
        <v>1</v>
      </c>
    </row>
    <row r="174">
      <c r="D174" s="11"/>
      <c r="H174" s="4" t="s">
        <v>36</v>
      </c>
      <c r="I174" s="4">
        <v>0.7</v>
      </c>
      <c r="J174" s="4">
        <v>6.0</v>
      </c>
      <c r="K174" s="5">
        <f t="shared" si="81"/>
        <v>0</v>
      </c>
      <c r="L174" s="5">
        <f t="shared" si="82"/>
        <v>0</v>
      </c>
    </row>
    <row r="175">
      <c r="D175" s="11"/>
      <c r="H175" s="4" t="s">
        <v>40</v>
      </c>
      <c r="I175" s="4">
        <v>0.6833333333</v>
      </c>
      <c r="J175" s="4">
        <v>7.0</v>
      </c>
      <c r="K175" s="5">
        <f t="shared" si="81"/>
        <v>0</v>
      </c>
      <c r="L175" s="5">
        <f t="shared" si="82"/>
        <v>0</v>
      </c>
    </row>
    <row r="176">
      <c r="D176" s="11"/>
      <c r="H176" s="4" t="s">
        <v>29</v>
      </c>
      <c r="I176" s="4">
        <v>0.65</v>
      </c>
      <c r="J176" s="4">
        <v>8.0</v>
      </c>
      <c r="K176" s="5">
        <f t="shared" si="81"/>
        <v>0</v>
      </c>
      <c r="L176" s="5">
        <f t="shared" si="82"/>
        <v>0</v>
      </c>
    </row>
    <row r="177">
      <c r="D177" s="11"/>
      <c r="H177" s="4" t="s">
        <v>35</v>
      </c>
      <c r="I177" s="4">
        <v>0.65</v>
      </c>
      <c r="J177" s="4">
        <v>8.0</v>
      </c>
      <c r="K177" s="5">
        <f t="shared" si="81"/>
        <v>0</v>
      </c>
      <c r="L177" s="5">
        <f t="shared" si="82"/>
        <v>0</v>
      </c>
    </row>
    <row r="178">
      <c r="H178" s="4" t="s">
        <v>34</v>
      </c>
      <c r="I178" s="4">
        <v>0.6333333333</v>
      </c>
      <c r="J178" s="4">
        <v>9.0</v>
      </c>
      <c r="K178" s="5">
        <f t="shared" si="81"/>
        <v>0</v>
      </c>
      <c r="L178" s="5">
        <f t="shared" si="82"/>
        <v>0</v>
      </c>
    </row>
    <row r="179">
      <c r="H179" s="4" t="s">
        <v>42</v>
      </c>
      <c r="I179" s="4">
        <v>0.6333333333</v>
      </c>
      <c r="J179" s="4">
        <v>9.0</v>
      </c>
      <c r="K179" s="5">
        <f t="shared" si="81"/>
        <v>0</v>
      </c>
      <c r="L179" s="5">
        <f t="shared" si="82"/>
        <v>0</v>
      </c>
    </row>
    <row r="180">
      <c r="H180" s="4" t="s">
        <v>38</v>
      </c>
      <c r="I180" s="4">
        <v>0.6166666667</v>
      </c>
      <c r="J180" s="4">
        <v>10.0</v>
      </c>
      <c r="K180" s="5">
        <f t="shared" si="81"/>
        <v>0</v>
      </c>
      <c r="L180" s="5">
        <f t="shared" si="82"/>
        <v>0</v>
      </c>
    </row>
    <row r="182">
      <c r="B182" s="4" t="s">
        <v>0</v>
      </c>
      <c r="C182" s="4" t="s">
        <v>82</v>
      </c>
      <c r="D182" s="4" t="s">
        <v>83</v>
      </c>
    </row>
    <row r="183">
      <c r="B183" s="4" t="s">
        <v>32</v>
      </c>
      <c r="C183" s="4">
        <v>0.8333333333</v>
      </c>
      <c r="D183" s="4">
        <v>1.0</v>
      </c>
    </row>
    <row r="184">
      <c r="B184" s="4" t="s">
        <v>30</v>
      </c>
      <c r="C184" s="4">
        <v>0.7833333333</v>
      </c>
      <c r="D184" s="4">
        <v>2.0</v>
      </c>
    </row>
    <row r="185">
      <c r="B185" s="4" t="s">
        <v>46</v>
      </c>
      <c r="C185" s="4">
        <v>0.7833333333</v>
      </c>
      <c r="D185" s="4">
        <v>2.0</v>
      </c>
    </row>
    <row r="186">
      <c r="B186" s="4" t="s">
        <v>48</v>
      </c>
      <c r="C186" s="4">
        <v>0.7833333333</v>
      </c>
      <c r="D186" s="4">
        <v>2.0</v>
      </c>
    </row>
    <row r="187">
      <c r="B187" s="4" t="s">
        <v>24</v>
      </c>
      <c r="C187" s="4">
        <v>0.7666666667</v>
      </c>
      <c r="D187" s="4">
        <v>3.0</v>
      </c>
    </row>
    <row r="188">
      <c r="B188" s="4" t="s">
        <v>31</v>
      </c>
      <c r="C188" s="4">
        <v>0.7666666667</v>
      </c>
      <c r="D188" s="4">
        <v>3.0</v>
      </c>
    </row>
    <row r="189">
      <c r="B189" s="4" t="s">
        <v>33</v>
      </c>
      <c r="C189" s="4">
        <v>0.7666666667</v>
      </c>
      <c r="D189" s="4">
        <v>3.0</v>
      </c>
    </row>
    <row r="190">
      <c r="B190" s="4" t="s">
        <v>37</v>
      </c>
      <c r="C190" s="4">
        <v>0.75</v>
      </c>
      <c r="D190" s="4">
        <v>4.0</v>
      </c>
    </row>
    <row r="191">
      <c r="B191" s="4" t="s">
        <v>36</v>
      </c>
      <c r="C191" s="4">
        <v>0.7</v>
      </c>
      <c r="D191" s="4">
        <v>6.0</v>
      </c>
    </row>
    <row r="192">
      <c r="B192" s="4" t="s">
        <v>40</v>
      </c>
      <c r="C192" s="4">
        <v>0.6833333333</v>
      </c>
      <c r="D192" s="4">
        <v>7.0</v>
      </c>
    </row>
  </sheetData>
  <autoFilter ref="$A$135:$C$159">
    <filterColumn colId="2">
      <filters>
        <filter val="1"/>
        <filter val="2"/>
        <filter val="3"/>
        <filter val="4"/>
        <filter val="5"/>
        <filter val="6"/>
        <filter val="7"/>
        <filter val="8"/>
        <filter val="9"/>
        <filter val="10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7" max="7" width="11.5"/>
    <col customWidth="1" min="9" max="9" width="18.0"/>
  </cols>
  <sheetData>
    <row r="1">
      <c r="A1" s="12" t="s">
        <v>0</v>
      </c>
      <c r="B1" s="13" t="s">
        <v>90</v>
      </c>
      <c r="C1" s="13" t="s">
        <v>91</v>
      </c>
      <c r="D1" s="13" t="s">
        <v>92</v>
      </c>
      <c r="E1" s="13" t="s">
        <v>93</v>
      </c>
      <c r="F1" s="13" t="s">
        <v>94</v>
      </c>
      <c r="G1" s="13" t="s">
        <v>95</v>
      </c>
      <c r="H1" s="13" t="s">
        <v>96</v>
      </c>
      <c r="I1" s="13" t="s">
        <v>97</v>
      </c>
      <c r="J1" s="4" t="s">
        <v>98</v>
      </c>
    </row>
    <row r="2">
      <c r="A2" s="11" t="s">
        <v>51</v>
      </c>
      <c r="B2" s="14">
        <v>1.0</v>
      </c>
      <c r="C2" s="14">
        <v>1.0</v>
      </c>
      <c r="D2" s="14">
        <v>1.0</v>
      </c>
      <c r="E2" s="14">
        <v>1.0</v>
      </c>
      <c r="F2" s="14">
        <v>1.0</v>
      </c>
      <c r="G2" s="14">
        <v>0.0</v>
      </c>
      <c r="H2" s="14">
        <v>0.0</v>
      </c>
      <c r="I2" s="14">
        <v>0.0</v>
      </c>
      <c r="J2" s="5">
        <f t="shared" ref="J2:J14" si="1">SUM(B2:I2)</f>
        <v>5</v>
      </c>
    </row>
    <row r="3">
      <c r="A3" s="11" t="s">
        <v>36</v>
      </c>
      <c r="B3" s="14">
        <v>0.0</v>
      </c>
      <c r="C3" s="14">
        <v>0.0</v>
      </c>
      <c r="D3" s="14">
        <v>0.0</v>
      </c>
      <c r="E3" s="14">
        <v>0.0</v>
      </c>
      <c r="F3" s="14">
        <v>0.0</v>
      </c>
      <c r="G3" s="14">
        <v>1.0</v>
      </c>
      <c r="H3" s="14">
        <v>1.0</v>
      </c>
      <c r="I3" s="14">
        <v>0.0</v>
      </c>
      <c r="J3" s="5">
        <f t="shared" si="1"/>
        <v>2</v>
      </c>
    </row>
    <row r="4">
      <c r="A4" s="11" t="s">
        <v>33</v>
      </c>
      <c r="B4" s="14">
        <v>1.0</v>
      </c>
      <c r="C4" s="14">
        <v>1.0</v>
      </c>
      <c r="D4" s="14">
        <v>0.0</v>
      </c>
      <c r="E4" s="14">
        <v>0.0</v>
      </c>
      <c r="F4" s="14">
        <v>0.0</v>
      </c>
      <c r="G4" s="14">
        <v>0.0</v>
      </c>
      <c r="H4" s="14">
        <v>0.0</v>
      </c>
      <c r="I4" s="14">
        <v>1.0</v>
      </c>
      <c r="J4" s="5">
        <f t="shared" si="1"/>
        <v>3</v>
      </c>
    </row>
    <row r="5">
      <c r="A5" s="11" t="s">
        <v>50</v>
      </c>
      <c r="B5" s="14">
        <v>1.0</v>
      </c>
      <c r="C5" s="14">
        <v>1.0</v>
      </c>
      <c r="D5" s="14">
        <v>1.0</v>
      </c>
      <c r="E5" s="14">
        <v>1.0</v>
      </c>
      <c r="F5" s="14">
        <v>1.0</v>
      </c>
      <c r="G5" s="14">
        <v>0.0</v>
      </c>
      <c r="H5" s="14">
        <v>0.0</v>
      </c>
      <c r="I5" s="14">
        <v>1.0</v>
      </c>
      <c r="J5" s="5">
        <f t="shared" si="1"/>
        <v>6</v>
      </c>
    </row>
    <row r="6">
      <c r="A6" s="11" t="s">
        <v>37</v>
      </c>
      <c r="B6" s="14">
        <v>0.0</v>
      </c>
      <c r="C6" s="14">
        <v>0.0</v>
      </c>
      <c r="D6" s="14">
        <v>0.0</v>
      </c>
      <c r="E6" s="14">
        <v>0.0</v>
      </c>
      <c r="F6" s="14">
        <v>0.0</v>
      </c>
      <c r="G6" s="14">
        <v>1.0</v>
      </c>
      <c r="H6" s="14">
        <v>1.0</v>
      </c>
      <c r="I6" s="14">
        <v>0.0</v>
      </c>
      <c r="J6" s="5">
        <f t="shared" si="1"/>
        <v>2</v>
      </c>
    </row>
    <row r="7">
      <c r="A7" s="11" t="s">
        <v>44</v>
      </c>
      <c r="B7" s="14">
        <v>1.0</v>
      </c>
      <c r="C7" s="14">
        <v>1.0</v>
      </c>
      <c r="D7" s="14">
        <v>0.0</v>
      </c>
      <c r="E7" s="14">
        <v>0.0</v>
      </c>
      <c r="F7" s="14">
        <v>0.0</v>
      </c>
      <c r="G7" s="14">
        <v>0.0</v>
      </c>
      <c r="H7" s="14">
        <v>0.0</v>
      </c>
      <c r="I7" s="14">
        <v>1.0</v>
      </c>
      <c r="J7" s="5">
        <f t="shared" si="1"/>
        <v>3</v>
      </c>
    </row>
    <row r="8">
      <c r="A8" s="11" t="s">
        <v>49</v>
      </c>
      <c r="B8" s="14">
        <v>1.0</v>
      </c>
      <c r="C8" s="14">
        <v>1.0</v>
      </c>
      <c r="D8" s="14">
        <v>1.0</v>
      </c>
      <c r="E8" s="14">
        <v>0.0</v>
      </c>
      <c r="F8" s="14">
        <v>0.0</v>
      </c>
      <c r="G8" s="14">
        <v>0.0</v>
      </c>
      <c r="H8" s="14">
        <v>0.0</v>
      </c>
      <c r="I8" s="14">
        <v>0.0</v>
      </c>
      <c r="J8" s="5">
        <f t="shared" si="1"/>
        <v>3</v>
      </c>
    </row>
    <row r="9">
      <c r="A9" s="11" t="s">
        <v>41</v>
      </c>
      <c r="B9" s="14">
        <v>0.0</v>
      </c>
      <c r="C9" s="14">
        <v>1.0</v>
      </c>
      <c r="D9" s="14">
        <v>0.0</v>
      </c>
      <c r="E9" s="14">
        <v>0.0</v>
      </c>
      <c r="F9" s="14">
        <v>1.0</v>
      </c>
      <c r="G9" s="14">
        <v>0.0</v>
      </c>
      <c r="H9" s="14">
        <v>0.0</v>
      </c>
      <c r="I9" s="14">
        <v>0.0</v>
      </c>
      <c r="J9" s="5">
        <f t="shared" si="1"/>
        <v>2</v>
      </c>
    </row>
    <row r="10">
      <c r="A10" s="11" t="s">
        <v>31</v>
      </c>
      <c r="B10" s="14">
        <v>0.0</v>
      </c>
      <c r="C10" s="14">
        <v>0.0</v>
      </c>
      <c r="D10" s="14">
        <v>0.0</v>
      </c>
      <c r="E10" s="14">
        <v>0.0</v>
      </c>
      <c r="F10" s="14">
        <v>0.0</v>
      </c>
      <c r="G10" s="14">
        <v>0.0</v>
      </c>
      <c r="H10" s="14">
        <v>1.0</v>
      </c>
      <c r="I10" s="14">
        <v>0.0</v>
      </c>
      <c r="J10" s="5">
        <f t="shared" si="1"/>
        <v>1</v>
      </c>
    </row>
    <row r="11">
      <c r="A11" s="11" t="s">
        <v>47</v>
      </c>
      <c r="B11" s="14">
        <v>0.0</v>
      </c>
      <c r="C11" s="14">
        <v>0.0</v>
      </c>
      <c r="D11" s="14">
        <v>1.0</v>
      </c>
      <c r="E11" s="14">
        <v>0.0</v>
      </c>
      <c r="F11" s="14">
        <v>0.0</v>
      </c>
      <c r="G11" s="14">
        <v>0.0</v>
      </c>
      <c r="H11" s="14">
        <v>0.0</v>
      </c>
      <c r="I11" s="14">
        <v>0.0</v>
      </c>
      <c r="J11" s="5">
        <f t="shared" si="1"/>
        <v>1</v>
      </c>
    </row>
    <row r="12">
      <c r="A12" s="11" t="s">
        <v>42</v>
      </c>
      <c r="B12" s="14">
        <v>0.0</v>
      </c>
      <c r="C12" s="14">
        <v>1.0</v>
      </c>
      <c r="D12" s="14">
        <v>0.0</v>
      </c>
      <c r="E12" s="14">
        <v>0.0</v>
      </c>
      <c r="F12" s="14">
        <v>1.0</v>
      </c>
      <c r="G12" s="14">
        <v>0.0</v>
      </c>
      <c r="H12" s="14">
        <v>0.0</v>
      </c>
      <c r="I12" s="14">
        <v>0.0</v>
      </c>
      <c r="J12" s="5">
        <f t="shared" si="1"/>
        <v>2</v>
      </c>
    </row>
    <row r="13">
      <c r="A13" s="11" t="s">
        <v>46</v>
      </c>
      <c r="B13" s="14">
        <v>0.0</v>
      </c>
      <c r="C13" s="14">
        <v>0.0</v>
      </c>
      <c r="D13" s="14">
        <v>0.0</v>
      </c>
      <c r="E13" s="14">
        <v>0.0</v>
      </c>
      <c r="F13" s="14">
        <v>0.0</v>
      </c>
      <c r="G13" s="14">
        <v>0.0</v>
      </c>
      <c r="H13" s="14">
        <v>0.0</v>
      </c>
      <c r="I13" s="14">
        <v>1.0</v>
      </c>
      <c r="J13" s="5">
        <f t="shared" si="1"/>
        <v>1</v>
      </c>
    </row>
    <row r="14">
      <c r="A14" s="11" t="s">
        <v>39</v>
      </c>
      <c r="B14" s="14">
        <v>0.0</v>
      </c>
      <c r="C14" s="14">
        <v>1.0</v>
      </c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5">
        <f t="shared" si="1"/>
        <v>1</v>
      </c>
    </row>
    <row r="20">
      <c r="C20" s="15"/>
      <c r="D20" s="15"/>
      <c r="E20" s="15"/>
      <c r="F20" s="13"/>
    </row>
    <row r="21">
      <c r="C21" s="11"/>
      <c r="D21" s="11"/>
      <c r="E21" s="11"/>
      <c r="F21" s="13"/>
    </row>
    <row r="22">
      <c r="C22" s="11"/>
      <c r="D22" s="11"/>
      <c r="E22" s="11"/>
      <c r="F22" s="13"/>
    </row>
    <row r="23">
      <c r="C23" s="11"/>
      <c r="D23" s="11"/>
      <c r="E23" s="11"/>
      <c r="F23" s="13"/>
    </row>
    <row r="24">
      <c r="C24" s="11"/>
      <c r="D24" s="11"/>
      <c r="E24" s="11"/>
      <c r="F24" s="13"/>
    </row>
    <row r="25">
      <c r="C25" s="11"/>
      <c r="D25" s="11"/>
      <c r="E25" s="11"/>
      <c r="F25" s="13"/>
    </row>
    <row r="26">
      <c r="C26" s="11"/>
      <c r="D26" s="11"/>
      <c r="E26" s="11"/>
      <c r="F26" s="13"/>
    </row>
    <row r="27">
      <c r="C27" s="11"/>
      <c r="D27" s="11"/>
      <c r="E27" s="11"/>
      <c r="F27" s="13"/>
    </row>
    <row r="28">
      <c r="C28" s="11"/>
      <c r="D28" s="11"/>
      <c r="E28" s="11"/>
      <c r="F28" s="13"/>
    </row>
    <row r="35">
      <c r="C35" s="15"/>
      <c r="D35" s="15"/>
      <c r="E35" s="15"/>
      <c r="F35" s="13"/>
      <c r="G35" s="15"/>
      <c r="H35" s="15"/>
    </row>
    <row r="36">
      <c r="C36" s="11"/>
      <c r="D36" s="11"/>
      <c r="E36" s="11"/>
      <c r="F36" s="13"/>
      <c r="G36" s="11"/>
      <c r="H36" s="11"/>
    </row>
    <row r="37">
      <c r="C37" s="11"/>
      <c r="D37" s="11"/>
      <c r="E37" s="11"/>
      <c r="F37" s="13"/>
      <c r="G37" s="11"/>
      <c r="H37" s="11"/>
    </row>
    <row r="38">
      <c r="C38" s="11"/>
      <c r="D38" s="11"/>
      <c r="E38" s="11"/>
      <c r="F38" s="13"/>
      <c r="G38" s="11"/>
      <c r="H38" s="11"/>
    </row>
    <row r="39">
      <c r="C39" s="11"/>
      <c r="D39" s="11"/>
      <c r="E39" s="11"/>
      <c r="F39" s="13"/>
      <c r="G39" s="11"/>
      <c r="H39" s="11"/>
    </row>
    <row r="40">
      <c r="C40" s="11"/>
      <c r="D40" s="11"/>
      <c r="E40" s="11"/>
      <c r="F40" s="13"/>
      <c r="G40" s="11"/>
      <c r="H40" s="11"/>
    </row>
    <row r="41">
      <c r="C41" s="11"/>
      <c r="D41" s="11"/>
      <c r="E41" s="11"/>
      <c r="F41" s="13"/>
      <c r="G41" s="11"/>
      <c r="H41" s="11"/>
    </row>
    <row r="42">
      <c r="C42" s="11"/>
      <c r="D42" s="11"/>
      <c r="E42" s="11"/>
      <c r="F42" s="13"/>
      <c r="G42" s="11"/>
      <c r="H42" s="11"/>
    </row>
    <row r="43">
      <c r="C43" s="11"/>
      <c r="D43" s="11"/>
      <c r="E43" s="11"/>
      <c r="F43" s="13"/>
      <c r="G43" s="11"/>
      <c r="H43" s="11"/>
    </row>
  </sheetData>
  <autoFilter ref="$A$1:$J$1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>
      <c r="A2" s="4" t="s">
        <v>51</v>
      </c>
      <c r="B2" s="4">
        <v>2.0</v>
      </c>
      <c r="C2" s="4">
        <v>2.0</v>
      </c>
      <c r="D2" s="4">
        <v>1.0</v>
      </c>
      <c r="E2" s="4">
        <v>2.0</v>
      </c>
      <c r="F2" s="4">
        <v>2.0</v>
      </c>
      <c r="G2" s="4">
        <v>0.0</v>
      </c>
      <c r="H2" s="4">
        <v>0.0</v>
      </c>
      <c r="I2" s="4">
        <v>0.0</v>
      </c>
    </row>
    <row r="3">
      <c r="A3" s="4" t="s">
        <v>36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1.0</v>
      </c>
      <c r="H3" s="4">
        <v>1.0</v>
      </c>
      <c r="I3" s="4">
        <v>0.0</v>
      </c>
    </row>
    <row r="4">
      <c r="A4" s="4" t="s">
        <v>33</v>
      </c>
      <c r="B4" s="4">
        <v>2.0</v>
      </c>
      <c r="C4" s="4">
        <v>2.0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1.0</v>
      </c>
    </row>
    <row r="5">
      <c r="A5" s="4" t="s">
        <v>50</v>
      </c>
      <c r="B5" s="4">
        <v>2.0</v>
      </c>
      <c r="C5" s="4">
        <v>2.0</v>
      </c>
      <c r="D5" s="4">
        <v>1.0</v>
      </c>
      <c r="E5" s="4">
        <v>2.0</v>
      </c>
      <c r="F5" s="4">
        <v>2.0</v>
      </c>
      <c r="G5" s="4">
        <v>0.0</v>
      </c>
      <c r="H5" s="4">
        <v>0.0</v>
      </c>
      <c r="I5" s="4">
        <v>1.0</v>
      </c>
    </row>
    <row r="6">
      <c r="A6" s="4" t="s">
        <v>37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1.0</v>
      </c>
      <c r="H6" s="4">
        <v>1.0</v>
      </c>
      <c r="I6" s="4">
        <v>0.0</v>
      </c>
    </row>
    <row r="7">
      <c r="A7" s="4" t="s">
        <v>44</v>
      </c>
      <c r="B7" s="4">
        <v>2.0</v>
      </c>
      <c r="C7" s="4">
        <v>2.0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1.0</v>
      </c>
    </row>
    <row r="8">
      <c r="A8" s="4" t="s">
        <v>49</v>
      </c>
      <c r="B8" s="4">
        <v>1.0</v>
      </c>
      <c r="C8" s="4">
        <v>1.0</v>
      </c>
      <c r="D8" s="4">
        <v>1.0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</row>
    <row r="9">
      <c r="A9" s="4" t="s">
        <v>41</v>
      </c>
      <c r="B9" s="4">
        <v>0.0</v>
      </c>
      <c r="C9" s="4">
        <v>3.0</v>
      </c>
      <c r="D9" s="4">
        <v>0.0</v>
      </c>
      <c r="E9" s="4">
        <v>0.0</v>
      </c>
      <c r="F9" s="4">
        <v>3.0</v>
      </c>
      <c r="G9" s="4">
        <v>0.0</v>
      </c>
      <c r="H9" s="4">
        <v>0.0</v>
      </c>
      <c r="I9" s="4">
        <v>0.0</v>
      </c>
    </row>
    <row r="10">
      <c r="A10" s="4" t="s">
        <v>31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3.0</v>
      </c>
      <c r="I10" s="4">
        <v>0.0</v>
      </c>
    </row>
    <row r="11">
      <c r="A11" s="4" t="s">
        <v>47</v>
      </c>
      <c r="B11" s="4">
        <v>0.0</v>
      </c>
      <c r="C11" s="4">
        <v>0.0</v>
      </c>
      <c r="D11" s="4">
        <v>3.0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</row>
    <row r="12">
      <c r="A12" s="4" t="s">
        <v>42</v>
      </c>
      <c r="B12" s="4">
        <v>0.0</v>
      </c>
      <c r="C12" s="4">
        <v>3.0</v>
      </c>
      <c r="D12" s="4">
        <v>0.0</v>
      </c>
      <c r="E12" s="4">
        <v>0.0</v>
      </c>
      <c r="F12" s="4">
        <v>3.0</v>
      </c>
      <c r="G12" s="4">
        <v>0.0</v>
      </c>
      <c r="H12" s="4">
        <v>0.0</v>
      </c>
      <c r="I12" s="4">
        <v>0.0</v>
      </c>
    </row>
    <row r="13">
      <c r="A13" s="4" t="s">
        <v>46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1.0</v>
      </c>
    </row>
    <row r="14">
      <c r="A14" s="4" t="s">
        <v>39</v>
      </c>
      <c r="B14" s="4">
        <v>0.0</v>
      </c>
      <c r="C14" s="4">
        <v>3.0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4.13"/>
    <col customWidth="1" min="3" max="3" width="14.5"/>
    <col customWidth="1" min="4" max="4" width="13.63"/>
    <col customWidth="1" min="5" max="5" width="15.5"/>
  </cols>
  <sheetData>
    <row r="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>
      <c r="A2" s="4">
        <v>1.0</v>
      </c>
      <c r="B2" s="4" t="s">
        <v>104</v>
      </c>
      <c r="C2" s="4" t="s">
        <v>105</v>
      </c>
      <c r="D2" s="4" t="s">
        <v>106</v>
      </c>
      <c r="E2" s="4" t="s">
        <v>107</v>
      </c>
    </row>
    <row r="3">
      <c r="A3" s="4">
        <v>1.0</v>
      </c>
      <c r="B3" s="4" t="s">
        <v>105</v>
      </c>
      <c r="C3" s="4" t="s">
        <v>108</v>
      </c>
      <c r="D3" s="4" t="s">
        <v>106</v>
      </c>
      <c r="E3" s="4" t="s">
        <v>107</v>
      </c>
    </row>
    <row r="4">
      <c r="A4" s="4">
        <v>2.0</v>
      </c>
      <c r="B4" s="4" t="s">
        <v>109</v>
      </c>
      <c r="C4" s="4" t="s">
        <v>105</v>
      </c>
      <c r="D4" s="4" t="s">
        <v>110</v>
      </c>
      <c r="E4" s="4" t="s">
        <v>107</v>
      </c>
    </row>
    <row r="5">
      <c r="A5" s="4">
        <v>2.0</v>
      </c>
      <c r="B5" s="4" t="s">
        <v>105</v>
      </c>
      <c r="C5" s="4" t="s">
        <v>109</v>
      </c>
      <c r="D5" s="4" t="s">
        <v>110</v>
      </c>
      <c r="E5" s="4" t="s">
        <v>107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4.13"/>
    <col customWidth="1" min="3" max="3" width="14.5"/>
    <col customWidth="1" min="4" max="4" width="13.63"/>
    <col customWidth="1" min="5" max="5" width="15.5"/>
  </cols>
  <sheetData>
    <row r="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>
      <c r="A2" s="4">
        <v>1.0</v>
      </c>
      <c r="B2" s="4" t="s">
        <v>111</v>
      </c>
      <c r="C2" s="4" t="s">
        <v>105</v>
      </c>
      <c r="D2" s="4" t="s">
        <v>112</v>
      </c>
      <c r="E2" s="4" t="s">
        <v>107</v>
      </c>
    </row>
    <row r="3">
      <c r="A3" s="4">
        <v>1.0</v>
      </c>
      <c r="B3" s="4" t="s">
        <v>105</v>
      </c>
      <c r="C3" s="4" t="s">
        <v>111</v>
      </c>
      <c r="D3" s="4" t="s">
        <v>112</v>
      </c>
      <c r="E3" s="4" t="s">
        <v>107</v>
      </c>
    </row>
    <row r="4">
      <c r="A4" s="4">
        <v>2.0</v>
      </c>
      <c r="B4" s="4" t="s">
        <v>113</v>
      </c>
      <c r="C4" s="4" t="s">
        <v>105</v>
      </c>
      <c r="D4" s="4" t="s">
        <v>114</v>
      </c>
      <c r="E4" s="4" t="s">
        <v>107</v>
      </c>
    </row>
    <row r="5">
      <c r="A5" s="4">
        <v>2.0</v>
      </c>
      <c r="B5" s="4" t="s">
        <v>105</v>
      </c>
      <c r="C5" s="4" t="s">
        <v>113</v>
      </c>
      <c r="D5" s="4" t="s">
        <v>114</v>
      </c>
      <c r="E5" s="4" t="s">
        <v>107</v>
      </c>
    </row>
    <row r="6">
      <c r="A6" s="4">
        <v>2.0</v>
      </c>
      <c r="B6" s="4" t="s">
        <v>115</v>
      </c>
      <c r="C6" s="4" t="s">
        <v>115</v>
      </c>
      <c r="D6" s="4" t="s">
        <v>116</v>
      </c>
      <c r="E6" s="4" t="s">
        <v>107</v>
      </c>
    </row>
    <row r="7">
      <c r="A7" s="4">
        <v>3.0</v>
      </c>
      <c r="B7" s="4" t="s">
        <v>117</v>
      </c>
      <c r="C7" s="4" t="s">
        <v>105</v>
      </c>
      <c r="D7" s="4" t="s">
        <v>118</v>
      </c>
      <c r="E7" s="4" t="s">
        <v>107</v>
      </c>
    </row>
    <row r="8">
      <c r="A8" s="4">
        <v>3.0</v>
      </c>
      <c r="B8" s="4" t="s">
        <v>105</v>
      </c>
      <c r="C8" s="4" t="s">
        <v>117</v>
      </c>
      <c r="D8" s="4" t="s">
        <v>118</v>
      </c>
      <c r="E8" s="4" t="s">
        <v>107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09.25"/>
  </cols>
  <sheetData>
    <row r="1">
      <c r="A1" s="1" t="s">
        <v>119</v>
      </c>
      <c r="B1" s="1" t="s">
        <v>120</v>
      </c>
    </row>
    <row r="2">
      <c r="A2" s="4" t="s">
        <v>121</v>
      </c>
      <c r="B2" s="4" t="s">
        <v>122</v>
      </c>
    </row>
    <row r="3">
      <c r="A3" s="4" t="s">
        <v>123</v>
      </c>
      <c r="B3" s="4" t="s">
        <v>124</v>
      </c>
    </row>
    <row r="4">
      <c r="A4" s="4" t="s">
        <v>125</v>
      </c>
      <c r="B4" s="4" t="s">
        <v>126</v>
      </c>
    </row>
    <row r="5">
      <c r="A5" s="4" t="s">
        <v>127</v>
      </c>
      <c r="B5" s="4" t="s">
        <v>128</v>
      </c>
    </row>
    <row r="6">
      <c r="A6" s="4" t="s">
        <v>129</v>
      </c>
      <c r="B6" s="4" t="s">
        <v>130</v>
      </c>
    </row>
    <row r="7">
      <c r="A7" s="4" t="s">
        <v>131</v>
      </c>
      <c r="B7" s="4" t="s">
        <v>132</v>
      </c>
    </row>
    <row r="8">
      <c r="A8" s="4" t="s">
        <v>133</v>
      </c>
      <c r="B8" s="4" t="s">
        <v>134</v>
      </c>
    </row>
    <row r="9">
      <c r="A9" s="4" t="s">
        <v>135</v>
      </c>
      <c r="B9" s="4" t="s">
        <v>136</v>
      </c>
    </row>
    <row r="10">
      <c r="A10" s="4" t="s">
        <v>137</v>
      </c>
      <c r="B10" s="4" t="s">
        <v>138</v>
      </c>
    </row>
    <row r="11">
      <c r="A11" s="4" t="s">
        <v>139</v>
      </c>
      <c r="B11" s="4" t="s">
        <v>140</v>
      </c>
    </row>
    <row r="12">
      <c r="A12" s="4" t="s">
        <v>141</v>
      </c>
      <c r="B12" s="4" t="s">
        <v>142</v>
      </c>
    </row>
    <row r="13">
      <c r="A13" s="4" t="s">
        <v>143</v>
      </c>
      <c r="B13" s="4" t="s">
        <v>144</v>
      </c>
    </row>
    <row r="14">
      <c r="A14" s="4" t="s">
        <v>145</v>
      </c>
      <c r="B14" s="4" t="s">
        <v>146</v>
      </c>
    </row>
    <row r="15">
      <c r="A15" s="4" t="s">
        <v>147</v>
      </c>
      <c r="B15" s="4" t="s">
        <v>148</v>
      </c>
    </row>
    <row r="16">
      <c r="A16" s="4" t="s">
        <v>149</v>
      </c>
      <c r="B16" s="4" t="s">
        <v>150</v>
      </c>
    </row>
    <row r="17">
      <c r="A17" s="4" t="s">
        <v>151</v>
      </c>
      <c r="B17" s="4" t="s">
        <v>152</v>
      </c>
    </row>
    <row r="18">
      <c r="A18" s="4" t="s">
        <v>153</v>
      </c>
      <c r="B18" s="4" t="s">
        <v>154</v>
      </c>
    </row>
    <row r="19">
      <c r="A19" s="4" t="s">
        <v>155</v>
      </c>
      <c r="B19" s="4" t="s">
        <v>156</v>
      </c>
    </row>
    <row r="20">
      <c r="A20" s="4" t="s">
        <v>157</v>
      </c>
      <c r="B20" s="4" t="s">
        <v>158</v>
      </c>
    </row>
    <row r="21">
      <c r="A21" s="4" t="s">
        <v>159</v>
      </c>
      <c r="B21" s="4" t="s">
        <v>160</v>
      </c>
    </row>
    <row r="22">
      <c r="A22" s="4" t="s">
        <v>161</v>
      </c>
      <c r="B22" s="4" t="s">
        <v>162</v>
      </c>
    </row>
    <row r="23">
      <c r="A23" s="4" t="s">
        <v>163</v>
      </c>
      <c r="B23" s="4" t="s">
        <v>164</v>
      </c>
    </row>
    <row r="24">
      <c r="A24" s="4" t="s">
        <v>165</v>
      </c>
      <c r="B24" s="4" t="s">
        <v>166</v>
      </c>
    </row>
    <row r="25">
      <c r="A25" s="4" t="s">
        <v>167</v>
      </c>
      <c r="B25" s="4" t="s">
        <v>168</v>
      </c>
    </row>
    <row r="26">
      <c r="A26" s="4" t="s">
        <v>169</v>
      </c>
      <c r="B26" s="4" t="s">
        <v>170</v>
      </c>
    </row>
    <row r="27">
      <c r="A27" s="4" t="s">
        <v>171</v>
      </c>
      <c r="B27" s="4" t="s">
        <v>172</v>
      </c>
    </row>
    <row r="28">
      <c r="A28" s="4" t="s">
        <v>173</v>
      </c>
      <c r="B28" s="4" t="s">
        <v>174</v>
      </c>
    </row>
    <row r="29">
      <c r="A29" s="4" t="s">
        <v>175</v>
      </c>
      <c r="B29" s="4" t="s">
        <v>176</v>
      </c>
    </row>
    <row r="30">
      <c r="A30" s="4" t="s">
        <v>177</v>
      </c>
      <c r="B30" s="4" t="s">
        <v>178</v>
      </c>
    </row>
    <row r="31">
      <c r="A31" s="4" t="s">
        <v>179</v>
      </c>
      <c r="B31" s="4" t="s">
        <v>180</v>
      </c>
    </row>
    <row r="32">
      <c r="A32" s="4" t="s">
        <v>181</v>
      </c>
      <c r="B32" s="4" t="s">
        <v>182</v>
      </c>
    </row>
    <row r="33">
      <c r="A33" s="4" t="s">
        <v>183</v>
      </c>
      <c r="B33" s="4" t="s">
        <v>184</v>
      </c>
    </row>
    <row r="34">
      <c r="A34" s="4" t="s">
        <v>185</v>
      </c>
      <c r="B34" s="4" t="s">
        <v>186</v>
      </c>
    </row>
    <row r="35">
      <c r="A35" s="4" t="s">
        <v>187</v>
      </c>
      <c r="B35" s="4" t="s">
        <v>188</v>
      </c>
    </row>
    <row r="36">
      <c r="A36" s="4" t="s">
        <v>189</v>
      </c>
      <c r="B36" s="4" t="s">
        <v>190</v>
      </c>
    </row>
    <row r="37">
      <c r="A37" s="4" t="s">
        <v>191</v>
      </c>
      <c r="B37" s="4" t="s">
        <v>192</v>
      </c>
    </row>
    <row r="38">
      <c r="A38" s="4" t="s">
        <v>193</v>
      </c>
      <c r="B38" s="4" t="s">
        <v>194</v>
      </c>
    </row>
    <row r="39">
      <c r="A39" s="4" t="s">
        <v>195</v>
      </c>
      <c r="B39" s="4" t="s">
        <v>196</v>
      </c>
    </row>
    <row r="40">
      <c r="A40" s="4" t="s">
        <v>197</v>
      </c>
      <c r="B40" s="4" t="s">
        <v>198</v>
      </c>
    </row>
    <row r="41">
      <c r="A41" s="4" t="s">
        <v>199</v>
      </c>
      <c r="B41" s="4" t="s">
        <v>200</v>
      </c>
    </row>
    <row r="42">
      <c r="A42" s="4" t="s">
        <v>201</v>
      </c>
      <c r="B42" s="4" t="s">
        <v>202</v>
      </c>
    </row>
    <row r="43">
      <c r="A43" s="4" t="s">
        <v>203</v>
      </c>
      <c r="B43" s="4" t="s">
        <v>204</v>
      </c>
    </row>
    <row r="44">
      <c r="A44" s="4" t="s">
        <v>205</v>
      </c>
      <c r="B44" s="4" t="s">
        <v>206</v>
      </c>
    </row>
    <row r="45">
      <c r="A45" s="4" t="s">
        <v>207</v>
      </c>
      <c r="B45" s="4" t="s">
        <v>208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08.0"/>
    <col customWidth="1" min="3" max="3" width="70.38"/>
  </cols>
  <sheetData>
    <row r="1">
      <c r="A1" s="1" t="s">
        <v>209</v>
      </c>
      <c r="B1" s="1" t="s">
        <v>210</v>
      </c>
      <c r="C1" s="1" t="s">
        <v>65</v>
      </c>
    </row>
    <row r="2">
      <c r="A2" s="10" t="s">
        <v>71</v>
      </c>
      <c r="B2" s="4" t="s">
        <v>211</v>
      </c>
      <c r="C2" s="4" t="s">
        <v>72</v>
      </c>
    </row>
    <row r="3">
      <c r="A3" s="10" t="s">
        <v>73</v>
      </c>
      <c r="B3" s="4" t="s">
        <v>212</v>
      </c>
      <c r="C3" s="4" t="s">
        <v>74</v>
      </c>
    </row>
    <row r="4">
      <c r="A4" s="10" t="s">
        <v>75</v>
      </c>
      <c r="B4" s="4" t="s">
        <v>213</v>
      </c>
      <c r="C4" s="4" t="s">
        <v>76</v>
      </c>
    </row>
    <row r="5">
      <c r="A5" s="10" t="s">
        <v>77</v>
      </c>
      <c r="B5" s="4" t="s">
        <v>214</v>
      </c>
      <c r="C5" s="4" t="s">
        <v>78</v>
      </c>
    </row>
    <row r="6">
      <c r="A6" s="10" t="s">
        <v>79</v>
      </c>
      <c r="B6" s="4" t="s">
        <v>215</v>
      </c>
      <c r="C6" s="4" t="s">
        <v>80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1.88"/>
  </cols>
  <sheetData>
    <row r="1">
      <c r="A1" s="1" t="s">
        <v>0</v>
      </c>
      <c r="B1" s="1" t="s">
        <v>216</v>
      </c>
      <c r="C1" s="4" t="s">
        <v>217</v>
      </c>
      <c r="D1" s="4" t="s">
        <v>218</v>
      </c>
      <c r="E1" s="4" t="s">
        <v>219</v>
      </c>
    </row>
    <row r="2">
      <c r="A2" s="4" t="s">
        <v>36</v>
      </c>
      <c r="B2" s="4" t="s">
        <v>217</v>
      </c>
      <c r="C2" s="5">
        <v>1.0</v>
      </c>
      <c r="D2" s="5">
        <v>0.0</v>
      </c>
      <c r="E2" s="5">
        <v>0.0</v>
      </c>
    </row>
    <row r="3">
      <c r="A3" s="4" t="s">
        <v>37</v>
      </c>
      <c r="B3" s="4" t="s">
        <v>217</v>
      </c>
      <c r="C3" s="5">
        <v>1.0</v>
      </c>
      <c r="D3" s="5">
        <v>0.0</v>
      </c>
      <c r="E3" s="5">
        <v>0.0</v>
      </c>
    </row>
    <row r="4">
      <c r="A4" s="4" t="s">
        <v>31</v>
      </c>
      <c r="B4" s="4" t="s">
        <v>217</v>
      </c>
      <c r="C4" s="5">
        <v>1.0</v>
      </c>
      <c r="D4" s="5">
        <v>0.0</v>
      </c>
      <c r="E4" s="5">
        <v>0.0</v>
      </c>
    </row>
    <row r="5">
      <c r="A5" s="4" t="s">
        <v>40</v>
      </c>
      <c r="B5" s="4" t="s">
        <v>218</v>
      </c>
      <c r="C5" s="5">
        <v>0.0</v>
      </c>
      <c r="D5" s="5">
        <v>1.0</v>
      </c>
      <c r="E5" s="5">
        <v>0.0</v>
      </c>
    </row>
    <row r="6">
      <c r="A6" s="4" t="s">
        <v>46</v>
      </c>
      <c r="B6" s="4" t="s">
        <v>219</v>
      </c>
      <c r="C6" s="5">
        <v>0.0</v>
      </c>
      <c r="D6" s="5">
        <v>0.0</v>
      </c>
      <c r="E6" s="5">
        <v>1.0</v>
      </c>
    </row>
    <row r="7">
      <c r="A7" s="4" t="s">
        <v>47</v>
      </c>
      <c r="B7" s="4" t="s">
        <v>219</v>
      </c>
      <c r="C7" s="5">
        <v>0.0</v>
      </c>
      <c r="D7" s="5">
        <v>0.0</v>
      </c>
      <c r="E7" s="5">
        <v>1.0</v>
      </c>
    </row>
    <row r="8">
      <c r="A8" s="4" t="s">
        <v>24</v>
      </c>
      <c r="B8" s="4" t="s">
        <v>219</v>
      </c>
      <c r="C8" s="5">
        <v>0.0</v>
      </c>
      <c r="D8" s="5">
        <v>0.0</v>
      </c>
      <c r="E8" s="5">
        <v>1.0</v>
      </c>
    </row>
    <row r="9">
      <c r="A9" s="4" t="s">
        <v>34</v>
      </c>
      <c r="B9" s="4" t="s">
        <v>218</v>
      </c>
      <c r="C9" s="5">
        <v>0.0</v>
      </c>
      <c r="D9" s="5">
        <v>1.0</v>
      </c>
      <c r="E9" s="5">
        <v>0.0</v>
      </c>
    </row>
    <row r="10">
      <c r="A10" s="4" t="s">
        <v>41</v>
      </c>
      <c r="B10" s="4" t="s">
        <v>218</v>
      </c>
      <c r="C10" s="5">
        <v>0.0</v>
      </c>
      <c r="D10" s="5">
        <v>1.0</v>
      </c>
      <c r="E10" s="5">
        <v>0.0</v>
      </c>
    </row>
    <row r="11">
      <c r="A11" s="4" t="s">
        <v>42</v>
      </c>
      <c r="B11" s="4" t="s">
        <v>218</v>
      </c>
      <c r="C11" s="5">
        <v>0.0</v>
      </c>
      <c r="D11" s="5">
        <v>1.0</v>
      </c>
      <c r="E11" s="5">
        <v>0.0</v>
      </c>
    </row>
    <row r="12">
      <c r="A12" s="4" t="s">
        <v>32</v>
      </c>
      <c r="B12" s="4" t="s">
        <v>219</v>
      </c>
      <c r="C12" s="5">
        <v>0.0</v>
      </c>
      <c r="D12" s="5">
        <v>0.0</v>
      </c>
      <c r="E12" s="5">
        <v>1.0</v>
      </c>
    </row>
    <row r="13">
      <c r="A13" s="4" t="s">
        <v>30</v>
      </c>
      <c r="B13" s="4" t="s">
        <v>217</v>
      </c>
      <c r="C13" s="5">
        <v>1.0</v>
      </c>
      <c r="D13" s="5">
        <v>0.0</v>
      </c>
      <c r="E13" s="5">
        <v>0.0</v>
      </c>
    </row>
    <row r="14">
      <c r="A14" s="4" t="s">
        <v>29</v>
      </c>
      <c r="B14" s="4" t="s">
        <v>217</v>
      </c>
      <c r="C14" s="5">
        <v>1.0</v>
      </c>
      <c r="D14" s="5">
        <v>0.0</v>
      </c>
      <c r="E14" s="5">
        <v>0.0</v>
      </c>
    </row>
    <row r="15">
      <c r="A15" s="4" t="s">
        <v>35</v>
      </c>
      <c r="B15" s="4" t="s">
        <v>218</v>
      </c>
      <c r="C15" s="5">
        <v>0.0</v>
      </c>
      <c r="D15" s="5">
        <v>1.0</v>
      </c>
      <c r="E15" s="5">
        <v>0.0</v>
      </c>
    </row>
    <row r="16">
      <c r="A16" s="4" t="s">
        <v>45</v>
      </c>
      <c r="B16" s="4" t="s">
        <v>218</v>
      </c>
      <c r="C16" s="5">
        <v>0.0</v>
      </c>
      <c r="D16" s="5">
        <v>1.0</v>
      </c>
      <c r="E16" s="5">
        <v>0.0</v>
      </c>
    </row>
    <row r="17">
      <c r="A17" s="4" t="s">
        <v>48</v>
      </c>
      <c r="B17" s="4" t="s">
        <v>219</v>
      </c>
      <c r="C17" s="5">
        <v>0.0</v>
      </c>
      <c r="D17" s="5">
        <v>0.0</v>
      </c>
      <c r="E17" s="5">
        <v>1.0</v>
      </c>
    </row>
    <row r="18">
      <c r="A18" s="4" t="s">
        <v>39</v>
      </c>
      <c r="B18" s="4" t="s">
        <v>218</v>
      </c>
      <c r="C18" s="5">
        <v>0.0</v>
      </c>
      <c r="D18" s="5">
        <v>1.0</v>
      </c>
      <c r="E18" s="5">
        <v>0.0</v>
      </c>
    </row>
    <row r="19">
      <c r="A19" s="4" t="s">
        <v>38</v>
      </c>
      <c r="B19" s="4" t="s">
        <v>218</v>
      </c>
      <c r="C19" s="5">
        <v>0.0</v>
      </c>
      <c r="D19" s="5">
        <v>1.0</v>
      </c>
      <c r="E19" s="5">
        <v>0.0</v>
      </c>
    </row>
    <row r="20">
      <c r="A20" s="4" t="s">
        <v>49</v>
      </c>
      <c r="B20" s="4" t="s">
        <v>218</v>
      </c>
      <c r="C20" s="5">
        <v>0.0</v>
      </c>
      <c r="D20" s="5">
        <v>1.0</v>
      </c>
      <c r="E20" s="5">
        <v>0.0</v>
      </c>
    </row>
    <row r="21">
      <c r="A21" s="4" t="s">
        <v>44</v>
      </c>
      <c r="B21" s="4" t="s">
        <v>217</v>
      </c>
      <c r="C21" s="5">
        <v>1.0</v>
      </c>
      <c r="D21" s="5">
        <v>0.0</v>
      </c>
      <c r="E21" s="5">
        <v>0.0</v>
      </c>
    </row>
    <row r="22">
      <c r="A22" s="4" t="s">
        <v>50</v>
      </c>
      <c r="B22" s="4" t="s">
        <v>218</v>
      </c>
      <c r="C22" s="5">
        <v>0.0</v>
      </c>
      <c r="D22" s="5">
        <v>1.0</v>
      </c>
      <c r="E22" s="5">
        <v>0.0</v>
      </c>
    </row>
    <row r="23">
      <c r="A23" s="4" t="s">
        <v>51</v>
      </c>
      <c r="B23" s="4" t="s">
        <v>218</v>
      </c>
      <c r="C23" s="5">
        <v>0.0</v>
      </c>
      <c r="D23" s="5">
        <v>1.0</v>
      </c>
      <c r="E23" s="5">
        <v>0.0</v>
      </c>
    </row>
    <row r="24">
      <c r="A24" s="4" t="s">
        <v>43</v>
      </c>
      <c r="B24" s="4" t="s">
        <v>218</v>
      </c>
      <c r="C24" s="5">
        <v>0.0</v>
      </c>
      <c r="D24" s="5">
        <v>1.0</v>
      </c>
      <c r="E24" s="5">
        <v>0.0</v>
      </c>
    </row>
    <row r="25">
      <c r="A25" s="4" t="s">
        <v>33</v>
      </c>
      <c r="B25" s="4" t="s">
        <v>219</v>
      </c>
      <c r="C25" s="5">
        <v>0.0</v>
      </c>
      <c r="D25" s="5">
        <v>0.0</v>
      </c>
      <c r="E25" s="5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0"/>
  </cols>
  <sheetData>
    <row r="1">
      <c r="A1" s="1" t="s">
        <v>220</v>
      </c>
      <c r="B1" s="1" t="s">
        <v>221</v>
      </c>
    </row>
    <row r="2">
      <c r="A2" s="4" t="s">
        <v>84</v>
      </c>
      <c r="B2" s="4" t="s">
        <v>222</v>
      </c>
    </row>
    <row r="3">
      <c r="A3" s="4" t="s">
        <v>223</v>
      </c>
      <c r="B3" s="4" t="s">
        <v>224</v>
      </c>
    </row>
    <row r="4">
      <c r="A4" s="4" t="s">
        <v>225</v>
      </c>
      <c r="B4" s="4" t="s">
        <v>226</v>
      </c>
    </row>
    <row r="5">
      <c r="A5" s="4" t="s">
        <v>85</v>
      </c>
      <c r="B5" s="4" t="s">
        <v>227</v>
      </c>
    </row>
    <row r="6">
      <c r="A6" s="4" t="s">
        <v>86</v>
      </c>
      <c r="B6" s="4" t="s">
        <v>228</v>
      </c>
    </row>
  </sheetData>
  <drawing r:id="rId1"/>
</worksheet>
</file>